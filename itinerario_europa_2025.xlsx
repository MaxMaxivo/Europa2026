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xiv\Downloads\"/>
    </mc:Choice>
  </mc:AlternateContent>
  <xr:revisionPtr revIDLastSave="0" documentId="13_ncr:1_{0D7DA4D8-5A5C-451E-A8C0-9022E26B93A6}" xr6:coauthVersionLast="36" xr6:coauthVersionMax="36" xr10:uidLastSave="{00000000-0000-0000-0000-000000000000}"/>
  <bookViews>
    <workbookView xWindow="0" yWindow="0" windowWidth="23040" windowHeight="8940" tabRatio="500" xr2:uid="{00000000-000D-0000-FFFF-FFFF00000000}"/>
  </bookViews>
  <sheets>
    <sheet name="GANTT" sheetId="1" r:id="rId1"/>
    <sheet name="DETALLE OPERATIVO" sheetId="2" r:id="rId2"/>
    <sheet name="LOGÍSTICA" sheetId="3" r:id="rId3"/>
  </sheets>
  <definedNames>
    <definedName name="_xlnm._FilterDatabase" localSheetId="1" hidden="1">'DETALLE OPERATIVO'!$A$2:$H$93</definedName>
    <definedName name="_xlnm._FilterDatabase" localSheetId="0" hidden="1">GANTT!$A$3:$J$36</definedName>
  </definedName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35" i="1" l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</calcChain>
</file>

<file path=xl/sharedStrings.xml><?xml version="1.0" encoding="utf-8"?>
<sst xmlns="http://schemas.openxmlformats.org/spreadsheetml/2006/main" count="1178" uniqueCount="612">
  <si>
    <t>✈  ITINERARIO EUROPA – JULIO / AGOSTO 2025</t>
  </si>
  <si>
    <t xml:space="preserve">  Leyenda:   🟡 Viaje   🟢 Turismo   🟠 Camino de Santiago   🟣 Descanso</t>
  </si>
  <si>
    <t>Fecha</t>
  </si>
  <si>
    <t>Ciudad</t>
  </si>
  <si>
    <t>País</t>
  </si>
  <si>
    <t>Actividad Principal</t>
  </si>
  <si>
    <t>Tipo de Día</t>
  </si>
  <si>
    <t>Hora Inicio</t>
  </si>
  <si>
    <t>Hora Fin</t>
  </si>
  <si>
    <t>Duración (h)</t>
  </si>
  <si>
    <t>Medio de Transporte</t>
  </si>
  <si>
    <t>Detalle Breve</t>
  </si>
  <si>
    <t>31/07/25</t>
  </si>
  <si>
    <t>Buenos Aires → Porto</t>
  </si>
  <si>
    <t>ARG→POR</t>
  </si>
  <si>
    <t>Vuelo internacional</t>
  </si>
  <si>
    <t>Viaje</t>
  </si>
  <si>
    <t>22:00</t>
  </si>
  <si>
    <t>Avión</t>
  </si>
  <si>
    <t>Salida desde EZE. Escala probable en Lisboa o Madrid</t>
  </si>
  <si>
    <t>01/08/25</t>
  </si>
  <si>
    <t>En vuelo → Porto</t>
  </si>
  <si>
    <t>Vuelo transatlántico</t>
  </si>
  <si>
    <t>10:00</t>
  </si>
  <si>
    <t>Llegada a Porto (OPO)</t>
  </si>
  <si>
    <t>Porto</t>
  </si>
  <si>
    <t>Portugal</t>
  </si>
  <si>
    <t>Llegada y orientación</t>
  </si>
  <si>
    <t>Turismo</t>
  </si>
  <si>
    <t>20:00</t>
  </si>
  <si>
    <t>A pie</t>
  </si>
  <si>
    <t>Alojamiento, recorrida barrio Ribeira, Torre dos Clérigos</t>
  </si>
  <si>
    <t>02/08/25</t>
  </si>
  <si>
    <t>Turismo en Porto</t>
  </si>
  <si>
    <t>09:00</t>
  </si>
  <si>
    <t>A pie / Metro</t>
  </si>
  <si>
    <t>Livraria Lello, Pont Dom Luís I, vino de Oporto en Vila Nova de Gaia</t>
  </si>
  <si>
    <t>03/08/25</t>
  </si>
  <si>
    <t>Foz do Douro, Museu Soares dos Reis. Noche libre</t>
  </si>
  <si>
    <t>04/08/25</t>
  </si>
  <si>
    <t>Porto → Santiago de Compostela</t>
  </si>
  <si>
    <t>POR→ESP</t>
  </si>
  <si>
    <t>Inicio Camino Portugués</t>
  </si>
  <si>
    <t>Camino</t>
  </si>
  <si>
    <t>08:00</t>
  </si>
  <si>
    <t>18:00</t>
  </si>
  <si>
    <t>Tren / A pie</t>
  </si>
  <si>
    <t>Porto → Valença (tren). Comienzo caminata etapa 1</t>
  </si>
  <si>
    <t>05/08/25</t>
  </si>
  <si>
    <t>Camino de Santiago – Etapa 2</t>
  </si>
  <si>
    <t>España</t>
  </si>
  <si>
    <t>Caminata</t>
  </si>
  <si>
    <t>07:00</t>
  </si>
  <si>
    <t>17:00</t>
  </si>
  <si>
    <t>~25 km. Tui → O Porriño → Redondela</t>
  </si>
  <si>
    <t>06/08/25</t>
  </si>
  <si>
    <t>Camino de Santiago – Etapa 3</t>
  </si>
  <si>
    <t>~20 km. Redondela → Pontevedra</t>
  </si>
  <si>
    <t>07/08/25</t>
  </si>
  <si>
    <t>Camino de Santiago – Etapa 4</t>
  </si>
  <si>
    <t>~24 km. Pontevedra → Caldas de Reis</t>
  </si>
  <si>
    <t>08/08/25</t>
  </si>
  <si>
    <t>Camino de Santiago – Etapa 5</t>
  </si>
  <si>
    <t>~19 km. Caldas de Reis → Padrón</t>
  </si>
  <si>
    <t>09/08/25</t>
  </si>
  <si>
    <t>Camino de Santiago – Etapa 6</t>
  </si>
  <si>
    <t>16:00</t>
  </si>
  <si>
    <t>~25 km. Padrón → Santiago de Compostela</t>
  </si>
  <si>
    <t>Santiago de Compostela</t>
  </si>
  <si>
    <t>Llegada y Misa del Peregrino</t>
  </si>
  <si>
    <t>21:00</t>
  </si>
  <si>
    <t>Catedral, plaza del Obradoiro. ¡Meta!</t>
  </si>
  <si>
    <t>10/08/25</t>
  </si>
  <si>
    <t>Santiago → Madrid</t>
  </si>
  <si>
    <t>Traslado en avión</t>
  </si>
  <si>
    <t>13:00</t>
  </si>
  <si>
    <t>SCQ → MAD. Vuelo ~1h</t>
  </si>
  <si>
    <t>Madrid</t>
  </si>
  <si>
    <t>Llegada y barrio</t>
  </si>
  <si>
    <t>Metro / A pie</t>
  </si>
  <si>
    <t>Check-in, Puerta del Sol, Gran Vía</t>
  </si>
  <si>
    <t>11/08/25</t>
  </si>
  <si>
    <t>Turismo en Madrid</t>
  </si>
  <si>
    <t>Museo del Prado, Parque del Retiro, Barrio de las Letras</t>
  </si>
  <si>
    <t>12/08/25</t>
  </si>
  <si>
    <t>Reina Sofía, Mercado de San Miguel, Malasaña</t>
  </si>
  <si>
    <t>13/08/25</t>
  </si>
  <si>
    <t>Madrid → Niza</t>
  </si>
  <si>
    <t>ESP→FRA</t>
  </si>
  <si>
    <t>Vuelo Madrid–Niza</t>
  </si>
  <si>
    <t>12:30</t>
  </si>
  <si>
    <t>MAD → NCE (~2h). Check-in, Promenade des Anglais</t>
  </si>
  <si>
    <t>Niza</t>
  </si>
  <si>
    <t>Francia</t>
  </si>
  <si>
    <t>Tarde en Niza</t>
  </si>
  <si>
    <t>Vieux-Nice, Cours Saleya, baño en playa</t>
  </si>
  <si>
    <t>14/08/25</t>
  </si>
  <si>
    <t>Niza – Costa Azul</t>
  </si>
  <si>
    <t>Excursión Mónaco o Villefranche</t>
  </si>
  <si>
    <t>Tren regional</t>
  </si>
  <si>
    <t>Día en la Costa Azul. A confirmar destino</t>
  </si>
  <si>
    <t>15/08/25</t>
  </si>
  <si>
    <t>Niza → Marsella</t>
  </si>
  <si>
    <t>FRA→FRA</t>
  </si>
  <si>
    <t>Traslado en tren</t>
  </si>
  <si>
    <t>12:00</t>
  </si>
  <si>
    <t>Tren TGV</t>
  </si>
  <si>
    <t>NCE → MRS ~2h30. Check-in</t>
  </si>
  <si>
    <t>Marsella</t>
  </si>
  <si>
    <t>Tarde en Marsella</t>
  </si>
  <si>
    <t>A pie / Bus</t>
  </si>
  <si>
    <t>Vieux-Port, Notre-Dame de la Garde</t>
  </si>
  <si>
    <t>16/08/25</t>
  </si>
  <si>
    <t>Turismo en Marsella</t>
  </si>
  <si>
    <t>Barco / Bus</t>
  </si>
  <si>
    <t>Islas del Frioul, Calanques (excursión). A confirmar</t>
  </si>
  <si>
    <t>17/08/25</t>
  </si>
  <si>
    <t>Marsella → Florencia</t>
  </si>
  <si>
    <t>FRA→ITA</t>
  </si>
  <si>
    <t>Viaje largo (tren+tren)</t>
  </si>
  <si>
    <t>19:00</t>
  </si>
  <si>
    <t>Tren</t>
  </si>
  <si>
    <t>MRS → Torino → Firenze (~11h total). A confirmar ruta</t>
  </si>
  <si>
    <t>18/08/25</t>
  </si>
  <si>
    <t>Florencia</t>
  </si>
  <si>
    <t>Italia</t>
  </si>
  <si>
    <t>Turismo en Florencia</t>
  </si>
  <si>
    <t>Duomo, Galería Uffizi (reserva previa), Ponte Vecchio</t>
  </si>
  <si>
    <t>19/08/25</t>
  </si>
  <si>
    <t>Galería Accademia (David), Piazzale Michelangelo, San Miniato</t>
  </si>
  <si>
    <t>20/08/25</t>
  </si>
  <si>
    <t>Florencia → Roma</t>
  </si>
  <si>
    <t>ITA→ITA</t>
  </si>
  <si>
    <t>Tren Florencia–Roma</t>
  </si>
  <si>
    <t>11:00</t>
  </si>
  <si>
    <t>Tren Freccia</t>
  </si>
  <si>
    <t>FIR → Roma Termini ~1h30</t>
  </si>
  <si>
    <t>Roma</t>
  </si>
  <si>
    <t>Tarde en Roma</t>
  </si>
  <si>
    <t>Check-in, Fontana di Trevi, Plaza Navona</t>
  </si>
  <si>
    <t>21/08/25</t>
  </si>
  <si>
    <t>Turismo en Roma</t>
  </si>
  <si>
    <t>Coliseo, Foro Romano, Palatino. Reserva previa</t>
  </si>
  <si>
    <t>22/08/25</t>
  </si>
  <si>
    <t>Vaticano: Museos, Capilla Sixtina, San Pedro. Reserva previa</t>
  </si>
  <si>
    <t>23/08/25</t>
  </si>
  <si>
    <t>Roma → Sorrento</t>
  </si>
  <si>
    <t>Traslado a Costa Amalfitana</t>
  </si>
  <si>
    <t>Tren + regional</t>
  </si>
  <si>
    <t>Roma → Nápoles (tren) → Sorrento (circumvesuviana)</t>
  </si>
  <si>
    <t>Sorrento / Costa Amalfitana</t>
  </si>
  <si>
    <t>Tarde en Sorrento</t>
  </si>
  <si>
    <t>Check-in, plaza Tasso, centro histórico</t>
  </si>
  <si>
    <t>24/08/25</t>
  </si>
  <si>
    <t>Costa Amalfitana</t>
  </si>
  <si>
    <t>Excursión Positano / Amalfi</t>
  </si>
  <si>
    <t>Ferry / Bus</t>
  </si>
  <si>
    <t>Positano, Amalfi, Ravello. A confirmar recorrido</t>
  </si>
  <si>
    <t>25/08/25</t>
  </si>
  <si>
    <t>Sorrento → Nápoles → Roma → Buenos Aires</t>
  </si>
  <si>
    <t>ITA→ARG</t>
  </si>
  <si>
    <t>Regreso a Buenos Aires</t>
  </si>
  <si>
    <t>05:00</t>
  </si>
  <si>
    <t>Tren + Avión</t>
  </si>
  <si>
    <t>Sorrento → NAP (circumvesuviana) → FCO → EZE</t>
  </si>
  <si>
    <t>📋  DETALLE OPERATIVO – DÍA A DÍA (24 HORAS)</t>
  </si>
  <si>
    <t>Día</t>
  </si>
  <si>
    <t>Bloque Horario</t>
  </si>
  <si>
    <t>Actividad Detallada</t>
  </si>
  <si>
    <t>Dirección / Zona</t>
  </si>
  <si>
    <t>Transporte</t>
  </si>
  <si>
    <t>Observaciones</t>
  </si>
  <si>
    <t>31/07</t>
  </si>
  <si>
    <t>Ju – Día 1</t>
  </si>
  <si>
    <t>Buenos Aires</t>
  </si>
  <si>
    <t>00:00–18:00</t>
  </si>
  <si>
    <t>Preparativos, empaque final</t>
  </si>
  <si>
    <t>Casa / Ciudad</t>
  </si>
  <si>
    <t>–</t>
  </si>
  <si>
    <t>Revisar documentos, pesos arg, euros, seguro de viaje</t>
  </si>
  <si>
    <t>18:00–20:00</t>
  </si>
  <si>
    <t>Traslado aeropuerto EZE</t>
  </si>
  <si>
    <t>Ezeiza</t>
  </si>
  <si>
    <t>Remís / Transfer</t>
  </si>
  <si>
    <t>Llegar mínimo 3h antes del vuelo internacional</t>
  </si>
  <si>
    <t>20:00–22:00</t>
  </si>
  <si>
    <t>Check-in y embarque</t>
  </si>
  <si>
    <t>Aeropuerto EZE</t>
  </si>
  <si>
    <t>Control migratorio, sala de espera</t>
  </si>
  <si>
    <t>En vuelo</t>
  </si>
  <si>
    <t>22:00–00:00</t>
  </si>
  <si>
    <t>Vuelo nocturno. A confirmar aerolínea y escala</t>
  </si>
  <si>
    <t>01/08</t>
  </si>
  <si>
    <t>Vi – Día 2</t>
  </si>
  <si>
    <t>00:00–10:00</t>
  </si>
  <si>
    <t>Vuelo transatlántico (continuación)</t>
  </si>
  <si>
    <t>~12–13 h de vuelo total desde EZE</t>
  </si>
  <si>
    <t>10:00–12:00</t>
  </si>
  <si>
    <t>Llegada aeropuerto OPO, aduana, equipaje</t>
  </si>
  <si>
    <t>Aeropuerto Francisco Sá Carneiro</t>
  </si>
  <si>
    <t>Control de pasaportes. Cambio de moneda si necesario</t>
  </si>
  <si>
    <t>12:00–14:00</t>
  </si>
  <si>
    <t>Traslado al alojamiento</t>
  </si>
  <si>
    <t>A confirmar</t>
  </si>
  <si>
    <t>Metro / Taxi</t>
  </si>
  <si>
    <t>Línea E del metro directo al centro</t>
  </si>
  <si>
    <t>14:00–15:00</t>
  </si>
  <si>
    <t>Check-in y descanso</t>
  </si>
  <si>
    <t>Alojamiento – A confirmar</t>
  </si>
  <si>
    <t>Dejar equipaje, refrescarse</t>
  </si>
  <si>
    <t>15:00–20:00</t>
  </si>
  <si>
    <t>Primer recorrido Ribeira y Torre Clérigos</t>
  </si>
  <si>
    <t>Ribeira, Rua das Flores</t>
  </si>
  <si>
    <t>Barrio declarado Patrimonio UNESCO</t>
  </si>
  <si>
    <t>Cena en restaurante local</t>
  </si>
  <si>
    <t>Probar francesinha o bacalao</t>
  </si>
  <si>
    <t>Descanso</t>
  </si>
  <si>
    <t>Alojamiento</t>
  </si>
  <si>
    <t>Jet lag – descansar temprano</t>
  </si>
  <si>
    <t>02/08</t>
  </si>
  <si>
    <t>Sa – Día 3</t>
  </si>
  <si>
    <t>07:00–08:30</t>
  </si>
  <si>
    <t>Desayuno y plan del día</t>
  </si>
  <si>
    <t>08:30–12:00</t>
  </si>
  <si>
    <t>Librería Lello + Estación São Bento</t>
  </si>
  <si>
    <t>Centro histórico</t>
  </si>
  <si>
    <t>Cola en Lello: comprar entrada online</t>
  </si>
  <si>
    <t>12:00–13:30</t>
  </si>
  <si>
    <t>Almuerzo</t>
  </si>
  <si>
    <t>13:30–17:00</t>
  </si>
  <si>
    <t>Vila Nova de Gaia – bodegas de vino de Oporto</t>
  </si>
  <si>
    <t>Gaia (margen sur)</t>
  </si>
  <si>
    <t>Puente Dom Luís I (a pie)</t>
  </si>
  <si>
    <t>Visita guiada a bodega: Taylor's, Sandeman, etc.</t>
  </si>
  <si>
    <t>17:00–20:00</t>
  </si>
  <si>
    <t>Foz do Douro y playas</t>
  </si>
  <si>
    <t>Foz do Douro</t>
  </si>
  <si>
    <t>Tranvía histórico o bus</t>
  </si>
  <si>
    <t>Atardecer frente al Atlántico</t>
  </si>
  <si>
    <t>20:00–23:00</t>
  </si>
  <si>
    <t>Cena y noche libre</t>
  </si>
  <si>
    <t>03/08</t>
  </si>
  <si>
    <t>Do – Día 4</t>
  </si>
  <si>
    <t>09:00–13:00</t>
  </si>
  <si>
    <t>Museu Soares dos Reis / Igreja do Carmo</t>
  </si>
  <si>
    <t>Centro</t>
  </si>
  <si>
    <t>13:00–15:00</t>
  </si>
  <si>
    <t>Almuerzo y descanso</t>
  </si>
  <si>
    <t>15:00–19:00</t>
  </si>
  <si>
    <t>Día libre – exploración personal</t>
  </si>
  <si>
    <t>A libre elección</t>
  </si>
  <si>
    <t>Mercado do Bolhão, barrios alternativos</t>
  </si>
  <si>
    <t>19:00–23:00</t>
  </si>
  <si>
    <t>Cena y descanso</t>
  </si>
  <si>
    <t>Última noche en Porto</t>
  </si>
  <si>
    <t>04/08</t>
  </si>
  <si>
    <t>Lu – Día 5</t>
  </si>
  <si>
    <t>Porto → Valença</t>
  </si>
  <si>
    <t>06:00–08:00</t>
  </si>
  <si>
    <t>Desayuno temprano + equipaje</t>
  </si>
  <si>
    <t>Preparar mochila para el Camino (máx 10 kg)</t>
  </si>
  <si>
    <t>08:00–10:30</t>
  </si>
  <si>
    <t>Tren Porto–Valença</t>
  </si>
  <si>
    <t>Estación Campanhã</t>
  </si>
  <si>
    <t>Tren CP</t>
  </si>
  <si>
    <t>~2h. Cruzar a España por puente medieval</t>
  </si>
  <si>
    <t>Valença → Tui</t>
  </si>
  <si>
    <t>10:30–12:00</t>
  </si>
  <si>
    <t>Inicio etapa: Valença → Tui</t>
  </si>
  <si>
    <t>Cruce fronterizo POR/ESP</t>
  </si>
  <si>
    <t>Sello en passaporte (credencial del Camino)</t>
  </si>
  <si>
    <t>Tui → O Porriño</t>
  </si>
  <si>
    <t>12:00–17:00</t>
  </si>
  <si>
    <t>Caminata etapa 1 (continúa)</t>
  </si>
  <si>
    <t>Camino Portugués</t>
  </si>
  <si>
    <t>~18 km. Primer día de caminata</t>
  </si>
  <si>
    <t>O Porriño</t>
  </si>
  <si>
    <t>17:00–21:00</t>
  </si>
  <si>
    <t>Albergue + descanso</t>
  </si>
  <si>
    <t>Cenar y preparar equipo para mañana</t>
  </si>
  <si>
    <t>05/08</t>
  </si>
  <si>
    <t>Ma – Día 6</t>
  </si>
  <si>
    <t>O Porriño → Redondela</t>
  </si>
  <si>
    <t>07:00–17:00</t>
  </si>
  <si>
    <t>Caminata Etapa 2 (~25 km)</t>
  </si>
  <si>
    <t>O Porriño → Mos → Redondela</t>
  </si>
  <si>
    <t>Redondela</t>
  </si>
  <si>
    <t>Albergue + descanso + sello</t>
  </si>
  <si>
    <t>06/08</t>
  </si>
  <si>
    <t>Mi – Día 7</t>
  </si>
  <si>
    <t>Redondela → Pontevedra</t>
  </si>
  <si>
    <t>Caminata Etapa 3 (~20 km)</t>
  </si>
  <si>
    <t>Pontevedra: ciudad medieval – vale la pena recorrerla</t>
  </si>
  <si>
    <t>Pontevedra</t>
  </si>
  <si>
    <t>Albergue + noche en Pontevedra</t>
  </si>
  <si>
    <t>Pontevedra centro</t>
  </si>
  <si>
    <t>07/08</t>
  </si>
  <si>
    <t>Ju – Día 8</t>
  </si>
  <si>
    <t>Pontevedra → Caldas de Reis</t>
  </si>
  <si>
    <t>Caminata Etapa 4 (~24 km)</t>
  </si>
  <si>
    <t>Termales en Caldas de Reis (opcional)</t>
  </si>
  <si>
    <t>Caldas de Reis</t>
  </si>
  <si>
    <t>08/08</t>
  </si>
  <si>
    <t>Vi – Día 9</t>
  </si>
  <si>
    <t>Caldas de Reis → Padrón</t>
  </si>
  <si>
    <t>Caminata Etapa 5 (~19 km)</t>
  </si>
  <si>
    <t>Padrón: ciudad de Rosalía de Castro</t>
  </si>
  <si>
    <t>Padrón</t>
  </si>
  <si>
    <t>09/08</t>
  </si>
  <si>
    <t>Sa – Día 10</t>
  </si>
  <si>
    <t>Padrón → Santiago</t>
  </si>
  <si>
    <t>06:30–16:00</t>
  </si>
  <si>
    <t>Última etapa Camino (~25 km)</t>
  </si>
  <si>
    <t>La emoción de los últimos kilómetros</t>
  </si>
  <si>
    <t>16:00–17:30</t>
  </si>
  <si>
    <t>Llegada a la Catedral + foto</t>
  </si>
  <si>
    <t>Plaza del Obradoiro</t>
  </si>
  <si>
    <t>¡Meta del Camino! Abrazar al Apóstol</t>
  </si>
  <si>
    <t>17:30–19:00</t>
  </si>
  <si>
    <t>Misa del Peregrino</t>
  </si>
  <si>
    <t>Catedral de Santiago</t>
  </si>
  <si>
    <t>Verificar horario. La Compostela se retira en la Oficina del Peregrino</t>
  </si>
  <si>
    <t>Cena celebración</t>
  </si>
  <si>
    <t>Zona casco histórico</t>
  </si>
  <si>
    <t>Pulpo a feira, caldo gallego</t>
  </si>
  <si>
    <t>10/08</t>
  </si>
  <si>
    <t>Do – Día 11</t>
  </si>
  <si>
    <t>08:00–10:00</t>
  </si>
  <si>
    <t>Traslado al aeropuerto SCQ</t>
  </si>
  <si>
    <t>Santiago</t>
  </si>
  <si>
    <t>Taxi / Bus</t>
  </si>
  <si>
    <t>Vuelo ~1h</t>
  </si>
  <si>
    <t>10:00–13:00</t>
  </si>
  <si>
    <t>Vuelo SCQ–MAD</t>
  </si>
  <si>
    <t>Aeropuerto de Santiago</t>
  </si>
  <si>
    <t>A confirmar aerolínea</t>
  </si>
  <si>
    <t>Llegada MAD, traslado hotel</t>
  </si>
  <si>
    <t>Aeropuerto Barajas T4</t>
  </si>
  <si>
    <t>Línea 8 metro directo</t>
  </si>
  <si>
    <t>15:00–21:00</t>
  </si>
  <si>
    <t>Puerta del Sol, Gran Vía, Retiro</t>
  </si>
  <si>
    <t>Centro de Madrid</t>
  </si>
  <si>
    <t>Orientación y primera tarde</t>
  </si>
  <si>
    <t>11/08</t>
  </si>
  <si>
    <t>Lu – Día 12</t>
  </si>
  <si>
    <t>09:00–14:00</t>
  </si>
  <si>
    <t>Museo del Prado</t>
  </si>
  <si>
    <t>Paseo del Prado</t>
  </si>
  <si>
    <t>Metro</t>
  </si>
  <si>
    <t>Reserva online obligatoria</t>
  </si>
  <si>
    <t>14:00–16:00</t>
  </si>
  <si>
    <t>Almuerzo zona Lavapiés</t>
  </si>
  <si>
    <t>Lavapiés</t>
  </si>
  <si>
    <t>16:00–20:00</t>
  </si>
  <si>
    <t>Parque del Retiro + Palacio de Cristal</t>
  </si>
  <si>
    <t>Retiro</t>
  </si>
  <si>
    <t>Cena barrio de las Letras / tapas</t>
  </si>
  <si>
    <t>Huertas</t>
  </si>
  <si>
    <t>12/08</t>
  </si>
  <si>
    <t>Ma – Día 13</t>
  </si>
  <si>
    <t>Museo Reina Sofía (Guernica)</t>
  </si>
  <si>
    <t>Santa Isabel</t>
  </si>
  <si>
    <t>Reserva previa recomendada</t>
  </si>
  <si>
    <t>Mercado de San Miguel + almuerzo</t>
  </si>
  <si>
    <t>Plaza Mayor</t>
  </si>
  <si>
    <t>Malasaña + Chueca (compras, cafés)</t>
  </si>
  <si>
    <t>Malasaña</t>
  </si>
  <si>
    <t>Cena y última noche en Madrid</t>
  </si>
  <si>
    <t>13/08</t>
  </si>
  <si>
    <t>Mi – Día 14</t>
  </si>
  <si>
    <t>07:00–09:00</t>
  </si>
  <si>
    <t>Traslado aeropuerto MAD + embarque</t>
  </si>
  <si>
    <t>Barajas</t>
  </si>
  <si>
    <t>09:00–12:30</t>
  </si>
  <si>
    <t>Vuelo MAD–NCE</t>
  </si>
  <si>
    <t>~2h. A confirmar aerolínea</t>
  </si>
  <si>
    <t>12:30–15:00</t>
  </si>
  <si>
    <t>Llegada, traslado y check-in</t>
  </si>
  <si>
    <t>Aeropuerto Côte d'Azur</t>
  </si>
  <si>
    <t>Bus/Taxi</t>
  </si>
  <si>
    <t>Vieux-Nice, Cours Saleya, playa</t>
  </si>
  <si>
    <t>Vieja Niza</t>
  </si>
  <si>
    <t>Mercado de flores (mañanas), helados en Fenocchio</t>
  </si>
  <si>
    <t>14/08</t>
  </si>
  <si>
    <t>Ju – Día 15</t>
  </si>
  <si>
    <t>Niza / Costa Azul</t>
  </si>
  <si>
    <t>09:00–20:00</t>
  </si>
  <si>
    <t>Costa Azul</t>
  </si>
  <si>
    <t>A confirmar destino. Mónaco: casino, palacio del Príncipe</t>
  </si>
  <si>
    <t>Cena y noche en Niza</t>
  </si>
  <si>
    <t>15/08</t>
  </si>
  <si>
    <t>Vi – Día 16</t>
  </si>
  <si>
    <t>09:00–12:00</t>
  </si>
  <si>
    <t>Tren Niza–Marsella</t>
  </si>
  <si>
    <t>Gare de Nice Ville</t>
  </si>
  <si>
    <t>TER/TGV</t>
  </si>
  <si>
    <t>~2h30. A confirmar</t>
  </si>
  <si>
    <t>Llegada, check-in</t>
  </si>
  <si>
    <t>14:00–21:00</t>
  </si>
  <si>
    <t>Marsella centro</t>
  </si>
  <si>
    <t>Subida a Notre-Dame: vistas panorámicas</t>
  </si>
  <si>
    <t>16/08</t>
  </si>
  <si>
    <t>Sa – Día 17</t>
  </si>
  <si>
    <t>09:00–19:00</t>
  </si>
  <si>
    <t>Excursión Calanques o Islas Frioul</t>
  </si>
  <si>
    <t>Costa marsellesa</t>
  </si>
  <si>
    <t>Barco</t>
  </si>
  <si>
    <t>Reserva previa obligatoria en temporada alta</t>
  </si>
  <si>
    <t>Cena bouillabaisse</t>
  </si>
  <si>
    <t>Vieux-Port</t>
  </si>
  <si>
    <t>Plato típico de Marsella</t>
  </si>
  <si>
    <t>17/08</t>
  </si>
  <si>
    <t>Do – Día 18</t>
  </si>
  <si>
    <t>07:00–19:00</t>
  </si>
  <si>
    <t>Viaje en tren (conexión)</t>
  </si>
  <si>
    <t>Marsella Saint-Charles</t>
  </si>
  <si>
    <t>MRS → Torino → Firenze. ~10-11h. A confirmar ruta óptima</t>
  </si>
  <si>
    <t>19:00–21:00</t>
  </si>
  <si>
    <t>Llegada, check-in, cena liviana</t>
  </si>
  <si>
    <t>18/08</t>
  </si>
  <si>
    <t>Lu – Día 19</t>
  </si>
  <si>
    <t>08:00–12:00</t>
  </si>
  <si>
    <t>Catedral Duomo + Baptisterio + Campanile</t>
  </si>
  <si>
    <t>Piazza del Duomo</t>
  </si>
  <si>
    <t>Reservar Duomo y Campanile online</t>
  </si>
  <si>
    <t>Almuerzo zona mercado central</t>
  </si>
  <si>
    <t>Mercato Centrale</t>
  </si>
  <si>
    <t>14:00–18:00</t>
  </si>
  <si>
    <t>Galería Uffizi</t>
  </si>
  <si>
    <t>Piazzale degli Uffizi</t>
  </si>
  <si>
    <t>Reserva online obligatoria en verano</t>
  </si>
  <si>
    <t>18:00–21:00</t>
  </si>
  <si>
    <t>Ponte Vecchio + Oltrarno</t>
  </si>
  <si>
    <t>Ponte Vecchio</t>
  </si>
  <si>
    <t>Atardecer desde Ponte Santa Trinità</t>
  </si>
  <si>
    <t>19/08</t>
  </si>
  <si>
    <t>Ma – Día 20</t>
  </si>
  <si>
    <t>Galería Accademia (David de Miguel Ángel)</t>
  </si>
  <si>
    <t>Via Ricasoli</t>
  </si>
  <si>
    <t>Reserva previa esencial</t>
  </si>
  <si>
    <t>Piazzale Michelangelo + San Miniato</t>
  </si>
  <si>
    <t>Colinas de Florencia</t>
  </si>
  <si>
    <t>Bus/A pie</t>
  </si>
  <si>
    <t>Vistas imperdibles de la ciudad</t>
  </si>
  <si>
    <t>18:00–23:00</t>
  </si>
  <si>
    <t>Cena y última noche en Florencia</t>
  </si>
  <si>
    <t>20/08</t>
  </si>
  <si>
    <t>Mi – Día 21</t>
  </si>
  <si>
    <t>08:00–11:00</t>
  </si>
  <si>
    <t>Tren Alta Velocidad Frecciarossa</t>
  </si>
  <si>
    <t>Santa Maria Novella</t>
  </si>
  <si>
    <t>Tren Trenitalia</t>
  </si>
  <si>
    <t>~1h30. Reservar con anticipación</t>
  </si>
  <si>
    <t>11:00–14:00</t>
  </si>
  <si>
    <t>Llegada Termini, check-in</t>
  </si>
  <si>
    <t>Roma Termini</t>
  </si>
  <si>
    <t>Metro A o B</t>
  </si>
  <si>
    <t>Fontana di Trevi, Panteón, Plaza Navona</t>
  </si>
  <si>
    <t>Tarde de descubrimiento</t>
  </si>
  <si>
    <t>21/08</t>
  </si>
  <si>
    <t>Ju – Día 22</t>
  </si>
  <si>
    <t>08:00–14:00</t>
  </si>
  <si>
    <t>Coliseo + Foro Romano + Palatino</t>
  </si>
  <si>
    <t>Via Sacra</t>
  </si>
  <si>
    <t>Metro B</t>
  </si>
  <si>
    <t>Reserva obligatoria con mucha anticipación</t>
  </si>
  <si>
    <t>Almuerzo zona Testaccio</t>
  </si>
  <si>
    <t>Testaccio</t>
  </si>
  <si>
    <t>Barrio auténtico romano</t>
  </si>
  <si>
    <t>Aventino, Circo Máximo, Trastevere</t>
  </si>
  <si>
    <t>Trastevere</t>
  </si>
  <si>
    <t>Cena en Trastevere</t>
  </si>
  <si>
    <t>El barrio más animado de Roma de noche</t>
  </si>
  <si>
    <t>22/08</t>
  </si>
  <si>
    <t>Vi – Día 23</t>
  </si>
  <si>
    <t>Vaticano: Museos + Capilla Sixtina + San Pedro</t>
  </si>
  <si>
    <t>Ciudad del Vaticano</t>
  </si>
  <si>
    <t>Metro A + A pie</t>
  </si>
  <si>
    <t>Reserva con mucha anticipación. Llegar temprano</t>
  </si>
  <si>
    <t>Almuerzo zona Prati</t>
  </si>
  <si>
    <t>Prati</t>
  </si>
  <si>
    <t>Cerca del Vaticano</t>
  </si>
  <si>
    <t>16:00–21:00</t>
  </si>
  <si>
    <t>Castel Sant'Angelo + Puente + paseo</t>
  </si>
  <si>
    <t>Lungotevere</t>
  </si>
  <si>
    <t>21:00–23:00</t>
  </si>
  <si>
    <t>Última cena en Roma (antes de la Costa)</t>
  </si>
  <si>
    <t>23/08</t>
  </si>
  <si>
    <t>Sa – Día 24</t>
  </si>
  <si>
    <t>Tren Roma–Nápoles</t>
  </si>
  <si>
    <t>Freccia / Intercity</t>
  </si>
  <si>
    <t>~1h10</t>
  </si>
  <si>
    <t>Nápoles → Sorrento</t>
  </si>
  <si>
    <t>09:00–11:00</t>
  </si>
  <si>
    <t>Circumvesuviana Nápoles–Sorrento</t>
  </si>
  <si>
    <t>Stazione Centrale Nápoles</t>
  </si>
  <si>
    <t>~1h. Vistas del Vesubio</t>
  </si>
  <si>
    <t>Sorrento</t>
  </si>
  <si>
    <t>Llegada, check-in, almuerzo</t>
  </si>
  <si>
    <t>Centro Sorrento, Plaza Tasso</t>
  </si>
  <si>
    <t>Centro Sorrento</t>
  </si>
  <si>
    <t>Limoncello, vista a la bahía</t>
  </si>
  <si>
    <t>24/08</t>
  </si>
  <si>
    <t>Do – Día 25</t>
  </si>
  <si>
    <t>07:00–20:00</t>
  </si>
  <si>
    <t>Excursión Positano / Amalfi / Ravello</t>
  </si>
  <si>
    <t>Ferry / Bus SITA</t>
  </si>
  <si>
    <t>A confirmar recorrido. Ferry más cómodo en verano</t>
  </si>
  <si>
    <t>Cena de despedida Italia</t>
  </si>
  <si>
    <t>Última noche en Europa</t>
  </si>
  <si>
    <t>25/08</t>
  </si>
  <si>
    <t>Lu – Día 26</t>
  </si>
  <si>
    <t>Sorrento → Nápoles</t>
  </si>
  <si>
    <t>04:30–06:30</t>
  </si>
  <si>
    <t>Circumvesuviana madrugada</t>
  </si>
  <si>
    <t>Verificar horario de madrugada</t>
  </si>
  <si>
    <t>Nápoles → Roma FCO</t>
  </si>
  <si>
    <t>06:30–09:00</t>
  </si>
  <si>
    <t>Tren o transfer a Roma FCO</t>
  </si>
  <si>
    <t>Nápoles</t>
  </si>
  <si>
    <t>Tren / Transfer</t>
  </si>
  <si>
    <t>A confirmar. FCO = Fiumicino</t>
  </si>
  <si>
    <t>Roma FCO → Buenos Aires</t>
  </si>
  <si>
    <t>09:00–23:59</t>
  </si>
  <si>
    <t>Vuelo de regreso a Buenos Aires</t>
  </si>
  <si>
    <t>Aeropuerto Fiumicino</t>
  </si>
  <si>
    <t>~14h. A confirmar escala. Llegada 25 o 26/08 según vuelo</t>
  </si>
  <si>
    <t>🗂  LOGÍSTICA DEL VIAJE – VUELOS · TRENES · HOTELES</t>
  </si>
  <si>
    <t>✈  VUELOS INTERNACIONALES E INTERNOS</t>
  </si>
  <si>
    <t>Origen</t>
  </si>
  <si>
    <t>Destino</t>
  </si>
  <si>
    <t>Aeropuerto Orig.</t>
  </si>
  <si>
    <t>Aerolínea</t>
  </si>
  <si>
    <t>Duración</t>
  </si>
  <si>
    <t>Notas</t>
  </si>
  <si>
    <t>Porto (con escala)</t>
  </si>
  <si>
    <t>EZE</t>
  </si>
  <si>
    <t>~13 h</t>
  </si>
  <si>
    <t>Vuelo nocturno. Escala probable en Lisboa o Madrid</t>
  </si>
  <si>
    <t>SCQ</t>
  </si>
  <si>
    <t>~1 h</t>
  </si>
  <si>
    <t>Vuelo directo o con escala</t>
  </si>
  <si>
    <t>MAD</t>
  </si>
  <si>
    <t>~2 h</t>
  </si>
  <si>
    <t>Roma (Fiumicino)</t>
  </si>
  <si>
    <t>FCO</t>
  </si>
  <si>
    <t>~14 h</t>
  </si>
  <si>
    <t>Escala posible. Verificar llegada 25 o 26/08</t>
  </si>
  <si>
    <t>🚄  TRENES</t>
  </si>
  <si>
    <t>Trayecto</t>
  </si>
  <si>
    <t>Tipo de tren</t>
  </si>
  <si>
    <t>Duración aprox.</t>
  </si>
  <si>
    <t>CP Intercidade</t>
  </si>
  <si>
    <t>Cruce fronterizo a pie hacia Tui (España)</t>
  </si>
  <si>
    <t>Santiago → (vuelo) → Madrid</t>
  </si>
  <si>
    <t>(vuelo)</t>
  </si>
  <si>
    <t>Ver sección Vuelos</t>
  </si>
  <si>
    <t>TER / TGV</t>
  </si>
  <si>
    <t>~2 h 30 min</t>
  </si>
  <si>
    <t>A confirmar. Alta Velocidad no siempre disponible</t>
  </si>
  <si>
    <t>Marsella → Torino → Florencia</t>
  </si>
  <si>
    <t>Francia / Italia</t>
  </si>
  <si>
    <t>TGV + Frecciarossa</t>
  </si>
  <si>
    <t>~10–11 h</t>
  </si>
  <si>
    <t>Conexión en Torino. A confirmar ruta exacta</t>
  </si>
  <si>
    <t>Frecciarossa</t>
  </si>
  <si>
    <t>~1 h 30 min</t>
  </si>
  <si>
    <t>Reservar con anticipación (alta demanda verano)</t>
  </si>
  <si>
    <t>Roma → Nápoles</t>
  </si>
  <si>
    <t>~1 h 10 min</t>
  </si>
  <si>
    <t>Termini → Nápoles Centrale</t>
  </si>
  <si>
    <t>Circumvesuviana</t>
  </si>
  <si>
    <t>Línea Sorrento. Frecuente pero a veces llena</t>
  </si>
  <si>
    <t>Sorrento → Nápoles (regreso)</t>
  </si>
  <si>
    <t>Verificar horario madrugada del 25/08</t>
  </si>
  <si>
    <t>🏨  HOTELES / ALOJAMIENTOS</t>
  </si>
  <si>
    <t>Nombre del Hotel</t>
  </si>
  <si>
    <t>Zona / Barrio</t>
  </si>
  <si>
    <t>Check-in</t>
  </si>
  <si>
    <t>Check-out</t>
  </si>
  <si>
    <t>Noches</t>
  </si>
  <si>
    <t>Ribeira / Centro</t>
  </si>
  <si>
    <t>3</t>
  </si>
  <si>
    <t>Albergues Camino (x6 noches)</t>
  </si>
  <si>
    <t>Ruta Camino Portugués</t>
  </si>
  <si>
    <t>6</t>
  </si>
  <si>
    <t>Reservar con anticipación en temporada alta</t>
  </si>
  <si>
    <t>Casco histórico</t>
  </si>
  <si>
    <t>1</t>
  </si>
  <si>
    <t>Primera noche tras llegar a la Meta</t>
  </si>
  <si>
    <t>Centro / Sol / Gran Vía</t>
  </si>
  <si>
    <t>Vieux-Nice / Centre</t>
  </si>
  <si>
    <t>2</t>
  </si>
  <si>
    <t>Centro storico</t>
  </si>
  <si>
    <t>Reservar temprano – muy demandado en agosto</t>
  </si>
  <si>
    <t>Centro / Trastevere</t>
  </si>
  <si>
    <t>Base para Costa Amalfitana</t>
  </si>
  <si>
    <t>📊  RESUMEN RÁPIDO</t>
  </si>
  <si>
    <t>Total días de viaje</t>
  </si>
  <si>
    <t>26 días (31/07 → 25/08)</t>
  </si>
  <si>
    <t>Total vuelos</t>
  </si>
  <si>
    <t>4 vuelos (EZE→OPO / SCQ→MAD / MAD→NCE / FCO→EZE)</t>
  </si>
  <si>
    <t>Total trenes</t>
  </si>
  <si>
    <t>7 trayectos en tren</t>
  </si>
  <si>
    <t>Países visitados</t>
  </si>
  <si>
    <t>5 (Argentina, Portugal, España, Francia, Italia)</t>
  </si>
  <si>
    <t>Ciudades principales</t>
  </si>
  <si>
    <t>9 (Porto, Santiago, Madrid, Niza, Marsella, Florencia, Roma, Sorrento, B.A.)</t>
  </si>
  <si>
    <t>Días de Camino de Santiago</t>
  </si>
  <si>
    <t>6 etapas + llegada = 7 días</t>
  </si>
  <si>
    <t>Total km estimados Camino</t>
  </si>
  <si>
    <t>~130 km (Camino Portugués desde Porto)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</si>
</sst>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9"/>
      <color rgb="FF475569"/>
      <name val="Arial"/>
      <charset val="1"/>
    </font>
    <font>
      <b/>
      <sz val="10"/>
      <color rgb="FFFFFFFF"/>
      <name val="Arial"/>
      <charset val="1"/>
    </font>
    <font>
      <sz val="9"/>
      <color rgb="FF1E293B"/>
      <name val="Arial"/>
      <charset val="1"/>
    </font>
    <font>
      <b/>
      <sz val="13"/>
      <color rgb="FFFFFFFF"/>
      <name val="Arial"/>
      <charset val="1"/>
    </font>
    <font>
      <b/>
      <sz val="11"/>
      <color rgb="FFFFFFFF"/>
      <name val="Arial"/>
      <charset val="1"/>
    </font>
  </fonts>
  <fills count="17">
    <fill>
      <patternFill patternType="none"/>
    </fill>
    <fill>
      <patternFill patternType="gray125"/>
    </fill>
    <fill>
      <patternFill patternType="solid">
        <fgColor rgb="FF1B3A6B"/>
        <bgColor rgb="FF1E293B"/>
      </patternFill>
    </fill>
    <fill>
      <patternFill patternType="solid">
        <fgColor rgb="FFF8FAFC"/>
        <bgColor rgb="FFFFFFFF"/>
      </patternFill>
    </fill>
    <fill>
      <patternFill patternType="solid">
        <fgColor rgb="FF2563A8"/>
        <bgColor rgb="FF1D4ED8"/>
      </patternFill>
    </fill>
    <fill>
      <patternFill patternType="solid">
        <fgColor rgb="FFFDE68A"/>
        <bgColor rgb="FFFED7AA"/>
      </patternFill>
    </fill>
    <fill>
      <patternFill patternType="solid">
        <fgColor rgb="FFBBF7D0"/>
        <bgColor rgb="FFCCFFFF"/>
      </patternFill>
    </fill>
    <fill>
      <patternFill patternType="solid">
        <fgColor rgb="FFFED7AA"/>
        <bgColor rgb="FFFDE68A"/>
      </patternFill>
    </fill>
    <fill>
      <patternFill patternType="solid">
        <fgColor rgb="FFFFFFFF"/>
        <bgColor rgb="FFF8FAFC"/>
      </patternFill>
    </fill>
    <fill>
      <patternFill patternType="solid">
        <fgColor rgb="FFF0F4F8"/>
        <bgColor rgb="FFF8FAFC"/>
      </patternFill>
    </fill>
    <fill>
      <patternFill patternType="solid">
        <fgColor rgb="FF1E40AF"/>
        <bgColor rgb="FF1D4ED8"/>
      </patternFill>
    </fill>
    <fill>
      <patternFill patternType="solid">
        <fgColor rgb="FF1D4ED8"/>
        <bgColor rgb="FF1E40AF"/>
      </patternFill>
    </fill>
    <fill>
      <patternFill patternType="solid">
        <fgColor rgb="FF0F766E"/>
        <bgColor rgb="FF0D9488"/>
      </patternFill>
    </fill>
    <fill>
      <patternFill patternType="solid">
        <fgColor rgb="FF0D9488"/>
        <bgColor rgb="FF339966"/>
      </patternFill>
    </fill>
    <fill>
      <patternFill patternType="solid">
        <fgColor rgb="FF7E22CE"/>
        <bgColor rgb="FF9333EA"/>
      </patternFill>
    </fill>
    <fill>
      <patternFill patternType="solid">
        <fgColor rgb="FF9333EA"/>
        <bgColor rgb="FF7E22CE"/>
      </patternFill>
    </fill>
    <fill>
      <patternFill patternType="solid">
        <fgColor rgb="FFB45309"/>
        <bgColor rgb="FF993366"/>
      </patternFill>
    </fill>
  </fills>
  <borders count="2">
    <border>
      <left/>
      <right/>
      <top/>
      <bottom/>
      <diagonal/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6" fillId="16" borderId="0" xfId="0" applyFont="1" applyFill="1" applyBorder="1" applyAlignment="1">
      <alignment horizontal="left" vertical="center" indent="1"/>
    </xf>
    <xf numFmtId="0" fontId="6" fillId="14" borderId="0" xfId="0" applyFont="1" applyFill="1" applyBorder="1" applyAlignment="1">
      <alignment horizontal="left" vertical="center" indent="1"/>
    </xf>
    <xf numFmtId="0" fontId="6" fillId="12" borderId="0" xfId="0" applyFont="1" applyFill="1" applyBorder="1" applyAlignment="1">
      <alignment horizontal="left" vertical="center" indent="1"/>
    </xf>
    <xf numFmtId="0" fontId="6" fillId="10" borderId="0" xfId="0" applyFont="1" applyFill="1" applyBorder="1" applyAlignment="1">
      <alignment horizontal="left" vertical="center" indent="1"/>
    </xf>
    <xf numFmtId="0" fontId="5" fillId="2" borderId="0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1" fillId="2" borderId="0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left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  <xf numFmtId="0" fontId="3" fillId="1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7E22CE"/>
      <rgbColor rgb="FF0F766E"/>
      <rgbColor rgb="FFC0C0C0"/>
      <rgbColor rgb="FF808080"/>
      <rgbColor rgb="FF9999FF"/>
      <rgbColor rgb="FF9333EA"/>
      <rgbColor rgb="FFF8FAFC"/>
      <rgbColor rgb="FFF0F4F8"/>
      <rgbColor rgb="FF660066"/>
      <rgbColor rgb="FFFF8080"/>
      <rgbColor rgb="FF2563A8"/>
      <rgbColor rgb="FFCCCCFF"/>
      <rgbColor rgb="FF000080"/>
      <rgbColor rgb="FFFF00FF"/>
      <rgbColor rgb="FFFFFF00"/>
      <rgbColor rgb="FF00FFFF"/>
      <rgbColor rgb="FF800080"/>
      <rgbColor rgb="FF800000"/>
      <rgbColor rgb="FF0D9488"/>
      <rgbColor rgb="FF0000FF"/>
      <rgbColor rgb="FF00CCFF"/>
      <rgbColor rgb="FFCCFFFF"/>
      <rgbColor rgb="FFBBF7D0"/>
      <rgbColor rgb="FFFDE68A"/>
      <rgbColor rgb="FF99CCFF"/>
      <rgbColor rgb="FFFF99CC"/>
      <rgbColor rgb="FFCC99FF"/>
      <rgbColor rgb="FFFED7AA"/>
      <rgbColor rgb="FF1D4ED8"/>
      <rgbColor rgb="FF33CCCC"/>
      <rgbColor rgb="FF99CC00"/>
      <rgbColor rgb="FFFFCC00"/>
      <rgbColor rgb="FFFF9900"/>
      <rgbColor rgb="FFFF6600"/>
      <rgbColor rgb="FF475569"/>
      <rgbColor rgb="FF94A3B8"/>
      <rgbColor rgb="FF1B3A6B"/>
      <rgbColor rgb="FF339966"/>
      <rgbColor rgb="FF003300"/>
      <rgbColor rgb="FF333300"/>
      <rgbColor rgb="FFB45309"/>
      <rgbColor rgb="FF993366"/>
      <rgbColor rgb="FF1E40AF"/>
      <rgbColor rgb="FF1E293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abSelected="1" topLeftCell="A14" zoomScaleNormal="100" workbookViewId="0">
      <selection activeCell="B26" sqref="B26"/>
    </sheetView>
  </sheetViews>
  <sheetFormatPr baseColWidth="10" defaultColWidth="8.6640625" defaultRowHeight="14.4" x14ac:dyDescent="0.3"/>
  <cols>
    <col min="1" max="1" width="12" customWidth="1"/>
    <col min="2" max="2" width="28" customWidth="1"/>
    <col min="3" max="3" width="10" customWidth="1"/>
    <col min="4" max="4" width="32" customWidth="1"/>
    <col min="5" max="5" width="12" customWidth="1"/>
    <col min="6" max="7" width="10" customWidth="1"/>
    <col min="8" max="8" width="12" customWidth="1"/>
    <col min="9" max="9" width="20" customWidth="1"/>
    <col min="10" max="10" width="45" customWidth="1"/>
  </cols>
  <sheetData>
    <row r="1" spans="1:10" ht="31.5" customHeight="1" x14ac:dyDescent="0.3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</row>
    <row r="2" spans="1:10" ht="19.5" customHeight="1" x14ac:dyDescent="0.3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</row>
    <row r="3" spans="1:10" ht="30" customHeight="1" x14ac:dyDescent="0.3">
      <c r="A3" s="8" t="s">
        <v>2</v>
      </c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</row>
    <row r="4" spans="1:10" ht="18" customHeight="1" x14ac:dyDescent="0.3">
      <c r="A4" s="9" t="s">
        <v>12</v>
      </c>
      <c r="B4" s="10" t="s">
        <v>13</v>
      </c>
      <c r="C4" s="10" t="s">
        <v>14</v>
      </c>
      <c r="D4" s="10" t="s">
        <v>15</v>
      </c>
      <c r="E4" s="9" t="s">
        <v>16</v>
      </c>
      <c r="F4" s="9" t="s">
        <v>17</v>
      </c>
      <c r="G4" s="9"/>
      <c r="H4" s="9"/>
      <c r="I4" s="10" t="s">
        <v>18</v>
      </c>
      <c r="J4" s="10" t="s">
        <v>19</v>
      </c>
    </row>
    <row r="5" spans="1:10" ht="18" customHeight="1" x14ac:dyDescent="0.3">
      <c r="A5" s="9" t="s">
        <v>20</v>
      </c>
      <c r="B5" s="10" t="s">
        <v>21</v>
      </c>
      <c r="C5" s="10"/>
      <c r="D5" s="10" t="s">
        <v>22</v>
      </c>
      <c r="E5" s="9" t="s">
        <v>16</v>
      </c>
      <c r="F5" s="9"/>
      <c r="G5" s="9" t="s">
        <v>23</v>
      </c>
      <c r="H5" s="9"/>
      <c r="I5" s="10" t="s">
        <v>18</v>
      </c>
      <c r="J5" s="10" t="s">
        <v>24</v>
      </c>
    </row>
    <row r="6" spans="1:10" ht="18" customHeight="1" x14ac:dyDescent="0.3">
      <c r="A6" s="11" t="s">
        <v>20</v>
      </c>
      <c r="B6" s="12" t="s">
        <v>25</v>
      </c>
      <c r="C6" s="12" t="s">
        <v>26</v>
      </c>
      <c r="D6" s="12" t="s">
        <v>27</v>
      </c>
      <c r="E6" s="11" t="s">
        <v>28</v>
      </c>
      <c r="F6" s="11" t="s">
        <v>23</v>
      </c>
      <c r="G6" s="11" t="s">
        <v>29</v>
      </c>
      <c r="H6" s="11" t="str">
        <f t="shared" ref="H6:H35" si="0">IF(AND(F6&lt;&gt;"",G6&lt;&gt;""),TEXT((TIMEVALUE(G6)-TIMEVALUE(F6))*24,"0.0")&amp;" h","")</f>
        <v>10 h</v>
      </c>
      <c r="I6" s="12" t="s">
        <v>30</v>
      </c>
      <c r="J6" s="12" t="s">
        <v>31</v>
      </c>
    </row>
    <row r="7" spans="1:10" ht="18" customHeight="1" x14ac:dyDescent="0.3">
      <c r="A7" s="11" t="s">
        <v>32</v>
      </c>
      <c r="B7" s="12" t="s">
        <v>25</v>
      </c>
      <c r="C7" s="12" t="s">
        <v>26</v>
      </c>
      <c r="D7" s="12" t="s">
        <v>33</v>
      </c>
      <c r="E7" s="11" t="s">
        <v>28</v>
      </c>
      <c r="F7" s="11" t="s">
        <v>34</v>
      </c>
      <c r="G7" s="11" t="s">
        <v>29</v>
      </c>
      <c r="H7" s="11" t="str">
        <f t="shared" si="0"/>
        <v>11 h</v>
      </c>
      <c r="I7" s="12" t="s">
        <v>35</v>
      </c>
      <c r="J7" s="12" t="s">
        <v>36</v>
      </c>
    </row>
    <row r="8" spans="1:10" ht="18" customHeight="1" x14ac:dyDescent="0.3">
      <c r="A8" s="11" t="s">
        <v>37</v>
      </c>
      <c r="B8" s="12" t="s">
        <v>25</v>
      </c>
      <c r="C8" s="12" t="s">
        <v>26</v>
      </c>
      <c r="D8" s="12" t="s">
        <v>33</v>
      </c>
      <c r="E8" s="11" t="s">
        <v>28</v>
      </c>
      <c r="F8" s="11" t="s">
        <v>34</v>
      </c>
      <c r="G8" s="11" t="s">
        <v>29</v>
      </c>
      <c r="H8" s="11" t="str">
        <f t="shared" si="0"/>
        <v>11 h</v>
      </c>
      <c r="I8" s="12" t="s">
        <v>30</v>
      </c>
      <c r="J8" s="12" t="s">
        <v>38</v>
      </c>
    </row>
    <row r="9" spans="1:10" ht="18" customHeight="1" x14ac:dyDescent="0.3">
      <c r="A9" s="13" t="s">
        <v>39</v>
      </c>
      <c r="B9" s="14" t="s">
        <v>40</v>
      </c>
      <c r="C9" s="14" t="s">
        <v>41</v>
      </c>
      <c r="D9" s="14" t="s">
        <v>42</v>
      </c>
      <c r="E9" s="13" t="s">
        <v>43</v>
      </c>
      <c r="F9" s="13" t="s">
        <v>44</v>
      </c>
      <c r="G9" s="13" t="s">
        <v>45</v>
      </c>
      <c r="H9" s="13" t="str">
        <f t="shared" si="0"/>
        <v>10 h</v>
      </c>
      <c r="I9" s="14" t="s">
        <v>46</v>
      </c>
      <c r="J9" s="14" t="s">
        <v>47</v>
      </c>
    </row>
    <row r="10" spans="1:10" ht="18" customHeight="1" x14ac:dyDescent="0.3">
      <c r="A10" s="13" t="s">
        <v>48</v>
      </c>
      <c r="B10" s="14" t="s">
        <v>49</v>
      </c>
      <c r="C10" s="14" t="s">
        <v>50</v>
      </c>
      <c r="D10" s="14" t="s">
        <v>51</v>
      </c>
      <c r="E10" s="13" t="s">
        <v>43</v>
      </c>
      <c r="F10" s="13" t="s">
        <v>52</v>
      </c>
      <c r="G10" s="13" t="s">
        <v>53</v>
      </c>
      <c r="H10" s="13" t="str">
        <f t="shared" si="0"/>
        <v>10 h</v>
      </c>
      <c r="I10" s="14" t="s">
        <v>30</v>
      </c>
      <c r="J10" s="14" t="s">
        <v>54</v>
      </c>
    </row>
    <row r="11" spans="1:10" ht="18" customHeight="1" x14ac:dyDescent="0.3">
      <c r="A11" s="13" t="s">
        <v>55</v>
      </c>
      <c r="B11" s="14" t="s">
        <v>56</v>
      </c>
      <c r="C11" s="14" t="s">
        <v>50</v>
      </c>
      <c r="D11" s="14" t="s">
        <v>51</v>
      </c>
      <c r="E11" s="13" t="s">
        <v>43</v>
      </c>
      <c r="F11" s="13" t="s">
        <v>52</v>
      </c>
      <c r="G11" s="13" t="s">
        <v>53</v>
      </c>
      <c r="H11" s="13" t="str">
        <f t="shared" si="0"/>
        <v>10 h</v>
      </c>
      <c r="I11" s="14" t="s">
        <v>30</v>
      </c>
      <c r="J11" s="14" t="s">
        <v>57</v>
      </c>
    </row>
    <row r="12" spans="1:10" ht="18" customHeight="1" x14ac:dyDescent="0.3">
      <c r="A12" s="13" t="s">
        <v>58</v>
      </c>
      <c r="B12" s="14" t="s">
        <v>59</v>
      </c>
      <c r="C12" s="14" t="s">
        <v>50</v>
      </c>
      <c r="D12" s="14" t="s">
        <v>51</v>
      </c>
      <c r="E12" s="13" t="s">
        <v>43</v>
      </c>
      <c r="F12" s="13" t="s">
        <v>52</v>
      </c>
      <c r="G12" s="13" t="s">
        <v>53</v>
      </c>
      <c r="H12" s="13" t="str">
        <f t="shared" si="0"/>
        <v>10 h</v>
      </c>
      <c r="I12" s="14" t="s">
        <v>30</v>
      </c>
      <c r="J12" s="14" t="s">
        <v>60</v>
      </c>
    </row>
    <row r="13" spans="1:10" ht="18" customHeight="1" x14ac:dyDescent="0.3">
      <c r="A13" s="13" t="s">
        <v>61</v>
      </c>
      <c r="B13" s="14" t="s">
        <v>62</v>
      </c>
      <c r="C13" s="14" t="s">
        <v>50</v>
      </c>
      <c r="D13" s="14" t="s">
        <v>51</v>
      </c>
      <c r="E13" s="13" t="s">
        <v>43</v>
      </c>
      <c r="F13" s="13" t="s">
        <v>52</v>
      </c>
      <c r="G13" s="13" t="s">
        <v>53</v>
      </c>
      <c r="H13" s="13" t="str">
        <f t="shared" si="0"/>
        <v>10 h</v>
      </c>
      <c r="I13" s="14" t="s">
        <v>30</v>
      </c>
      <c r="J13" s="14" t="s">
        <v>63</v>
      </c>
    </row>
    <row r="14" spans="1:10" ht="18" customHeight="1" x14ac:dyDescent="0.3">
      <c r="A14" s="13" t="s">
        <v>64</v>
      </c>
      <c r="B14" s="14" t="s">
        <v>65</v>
      </c>
      <c r="C14" s="14" t="s">
        <v>50</v>
      </c>
      <c r="D14" s="14" t="s">
        <v>51</v>
      </c>
      <c r="E14" s="13" t="s">
        <v>43</v>
      </c>
      <c r="F14" s="13" t="s">
        <v>52</v>
      </c>
      <c r="G14" s="13" t="s">
        <v>66</v>
      </c>
      <c r="H14" s="13" t="str">
        <f t="shared" si="0"/>
        <v>09 h</v>
      </c>
      <c r="I14" s="14" t="s">
        <v>30</v>
      </c>
      <c r="J14" s="14" t="s">
        <v>67</v>
      </c>
    </row>
    <row r="15" spans="1:10" ht="18" customHeight="1" x14ac:dyDescent="0.3">
      <c r="A15" s="11" t="s">
        <v>64</v>
      </c>
      <c r="B15" s="12" t="s">
        <v>68</v>
      </c>
      <c r="C15" s="12" t="s">
        <v>50</v>
      </c>
      <c r="D15" s="12" t="s">
        <v>69</v>
      </c>
      <c r="E15" s="11" t="s">
        <v>28</v>
      </c>
      <c r="F15" s="11" t="s">
        <v>66</v>
      </c>
      <c r="G15" s="11" t="s">
        <v>70</v>
      </c>
      <c r="H15" s="11" t="str">
        <f t="shared" si="0"/>
        <v>05 h</v>
      </c>
      <c r="I15" s="12" t="s">
        <v>30</v>
      </c>
      <c r="J15" s="12" t="s">
        <v>71</v>
      </c>
    </row>
    <row r="16" spans="1:10" ht="18" customHeight="1" x14ac:dyDescent="0.3">
      <c r="A16" s="9" t="s">
        <v>72</v>
      </c>
      <c r="B16" s="10" t="s">
        <v>73</v>
      </c>
      <c r="C16" s="10" t="s">
        <v>50</v>
      </c>
      <c r="D16" s="10" t="s">
        <v>74</v>
      </c>
      <c r="E16" s="9" t="s">
        <v>16</v>
      </c>
      <c r="F16" s="9" t="s">
        <v>23</v>
      </c>
      <c r="G16" s="9" t="s">
        <v>75</v>
      </c>
      <c r="H16" s="9" t="str">
        <f t="shared" si="0"/>
        <v>03 h</v>
      </c>
      <c r="I16" s="10" t="s">
        <v>18</v>
      </c>
      <c r="J16" s="10" t="s">
        <v>76</v>
      </c>
    </row>
    <row r="17" spans="1:10" ht="18" customHeight="1" x14ac:dyDescent="0.3">
      <c r="A17" s="11" t="s">
        <v>72</v>
      </c>
      <c r="B17" s="12" t="s">
        <v>77</v>
      </c>
      <c r="C17" s="12" t="s">
        <v>50</v>
      </c>
      <c r="D17" s="12" t="s">
        <v>78</v>
      </c>
      <c r="E17" s="11" t="s">
        <v>28</v>
      </c>
      <c r="F17" s="11" t="s">
        <v>75</v>
      </c>
      <c r="G17" s="11" t="s">
        <v>29</v>
      </c>
      <c r="H17" s="11" t="str">
        <f t="shared" si="0"/>
        <v>07 h</v>
      </c>
      <c r="I17" s="12" t="s">
        <v>79</v>
      </c>
      <c r="J17" s="12" t="s">
        <v>80</v>
      </c>
    </row>
    <row r="18" spans="1:10" ht="18" customHeight="1" x14ac:dyDescent="0.3">
      <c r="A18" s="11" t="s">
        <v>81</v>
      </c>
      <c r="B18" s="12" t="s">
        <v>77</v>
      </c>
      <c r="C18" s="12" t="s">
        <v>50</v>
      </c>
      <c r="D18" s="12" t="s">
        <v>82</v>
      </c>
      <c r="E18" s="11" t="s">
        <v>28</v>
      </c>
      <c r="F18" s="11" t="s">
        <v>34</v>
      </c>
      <c r="G18" s="11" t="s">
        <v>70</v>
      </c>
      <c r="H18" s="11" t="str">
        <f t="shared" si="0"/>
        <v>12 h</v>
      </c>
      <c r="I18" s="12" t="s">
        <v>79</v>
      </c>
      <c r="J18" s="12" t="s">
        <v>83</v>
      </c>
    </row>
    <row r="19" spans="1:10" ht="18" customHeight="1" x14ac:dyDescent="0.3">
      <c r="A19" s="11" t="s">
        <v>84</v>
      </c>
      <c r="B19" s="12" t="s">
        <v>77</v>
      </c>
      <c r="C19" s="12" t="s">
        <v>50</v>
      </c>
      <c r="D19" s="12" t="s">
        <v>82</v>
      </c>
      <c r="E19" s="11" t="s">
        <v>28</v>
      </c>
      <c r="F19" s="11" t="s">
        <v>34</v>
      </c>
      <c r="G19" s="11" t="s">
        <v>70</v>
      </c>
      <c r="H19" s="11" t="str">
        <f t="shared" si="0"/>
        <v>12 h</v>
      </c>
      <c r="I19" s="12" t="s">
        <v>79</v>
      </c>
      <c r="J19" s="12" t="s">
        <v>85</v>
      </c>
    </row>
    <row r="20" spans="1:10" ht="18" customHeight="1" x14ac:dyDescent="0.3">
      <c r="A20" s="9" t="s">
        <v>86</v>
      </c>
      <c r="B20" s="10" t="s">
        <v>87</v>
      </c>
      <c r="C20" s="10" t="s">
        <v>88</v>
      </c>
      <c r="D20" s="10" t="s">
        <v>89</v>
      </c>
      <c r="E20" s="9" t="s">
        <v>16</v>
      </c>
      <c r="F20" s="9" t="s">
        <v>34</v>
      </c>
      <c r="G20" s="9" t="s">
        <v>90</v>
      </c>
      <c r="H20" s="9" t="str">
        <f t="shared" si="0"/>
        <v>04 h</v>
      </c>
      <c r="I20" s="10" t="s">
        <v>18</v>
      </c>
      <c r="J20" s="10" t="s">
        <v>91</v>
      </c>
    </row>
    <row r="21" spans="1:10" ht="18" customHeight="1" x14ac:dyDescent="0.3">
      <c r="A21" s="11" t="s">
        <v>86</v>
      </c>
      <c r="B21" s="12" t="s">
        <v>92</v>
      </c>
      <c r="C21" s="12" t="s">
        <v>93</v>
      </c>
      <c r="D21" s="12" t="s">
        <v>94</v>
      </c>
      <c r="E21" s="11" t="s">
        <v>28</v>
      </c>
      <c r="F21" s="11" t="s">
        <v>75</v>
      </c>
      <c r="G21" s="11" t="s">
        <v>70</v>
      </c>
      <c r="H21" s="11" t="str">
        <f t="shared" si="0"/>
        <v>08 h</v>
      </c>
      <c r="I21" s="12" t="s">
        <v>30</v>
      </c>
      <c r="J21" s="12" t="s">
        <v>95</v>
      </c>
    </row>
    <row r="22" spans="1:10" ht="18" customHeight="1" x14ac:dyDescent="0.3">
      <c r="A22" s="11" t="s">
        <v>96</v>
      </c>
      <c r="B22" s="12" t="s">
        <v>97</v>
      </c>
      <c r="C22" s="12" t="s">
        <v>93</v>
      </c>
      <c r="D22" s="12" t="s">
        <v>98</v>
      </c>
      <c r="E22" s="11" t="s">
        <v>28</v>
      </c>
      <c r="F22" s="11" t="s">
        <v>34</v>
      </c>
      <c r="G22" s="11" t="s">
        <v>29</v>
      </c>
      <c r="H22" s="11" t="str">
        <f t="shared" si="0"/>
        <v>11 h</v>
      </c>
      <c r="I22" s="12" t="s">
        <v>99</v>
      </c>
      <c r="J22" s="12" t="s">
        <v>100</v>
      </c>
    </row>
    <row r="23" spans="1:10" ht="18" customHeight="1" x14ac:dyDescent="0.3">
      <c r="A23" s="9" t="s">
        <v>101</v>
      </c>
      <c r="B23" s="10" t="s">
        <v>102</v>
      </c>
      <c r="C23" s="10" t="s">
        <v>103</v>
      </c>
      <c r="D23" s="10" t="s">
        <v>104</v>
      </c>
      <c r="E23" s="9" t="s">
        <v>16</v>
      </c>
      <c r="F23" s="9" t="s">
        <v>23</v>
      </c>
      <c r="G23" s="9" t="s">
        <v>105</v>
      </c>
      <c r="H23" s="9" t="str">
        <f t="shared" si="0"/>
        <v>02 h</v>
      </c>
      <c r="I23" s="10" t="s">
        <v>106</v>
      </c>
      <c r="J23" s="10" t="s">
        <v>107</v>
      </c>
    </row>
    <row r="24" spans="1:10" ht="18" customHeight="1" x14ac:dyDescent="0.3">
      <c r="A24" s="11" t="s">
        <v>101</v>
      </c>
      <c r="B24" s="12" t="s">
        <v>108</v>
      </c>
      <c r="C24" s="12" t="s">
        <v>93</v>
      </c>
      <c r="D24" s="12" t="s">
        <v>109</v>
      </c>
      <c r="E24" s="11" t="s">
        <v>28</v>
      </c>
      <c r="F24" s="11" t="s">
        <v>105</v>
      </c>
      <c r="G24" s="11" t="s">
        <v>70</v>
      </c>
      <c r="H24" s="11" t="str">
        <f t="shared" si="0"/>
        <v>09 h</v>
      </c>
      <c r="I24" s="12" t="s">
        <v>110</v>
      </c>
      <c r="J24" s="12" t="s">
        <v>111</v>
      </c>
    </row>
    <row r="25" spans="1:10" ht="18" customHeight="1" x14ac:dyDescent="0.3">
      <c r="A25" s="11" t="s">
        <v>112</v>
      </c>
      <c r="B25" s="12" t="s">
        <v>108</v>
      </c>
      <c r="C25" s="12" t="s">
        <v>93</v>
      </c>
      <c r="D25" s="12" t="s">
        <v>113</v>
      </c>
      <c r="E25" s="11" t="s">
        <v>28</v>
      </c>
      <c r="F25" s="11" t="s">
        <v>34</v>
      </c>
      <c r="G25" s="11" t="s">
        <v>70</v>
      </c>
      <c r="H25" s="11" t="str">
        <f t="shared" si="0"/>
        <v>12 h</v>
      </c>
      <c r="I25" s="12" t="s">
        <v>114</v>
      </c>
      <c r="J25" s="12" t="s">
        <v>115</v>
      </c>
    </row>
    <row r="26" spans="1:10" ht="18" customHeight="1" x14ac:dyDescent="0.3">
      <c r="A26" s="9" t="s">
        <v>116</v>
      </c>
      <c r="B26" s="10" t="s">
        <v>117</v>
      </c>
      <c r="C26" s="10" t="s">
        <v>118</v>
      </c>
      <c r="D26" s="10" t="s">
        <v>119</v>
      </c>
      <c r="E26" s="9" t="s">
        <v>16</v>
      </c>
      <c r="F26" s="9" t="s">
        <v>44</v>
      </c>
      <c r="G26" s="9" t="s">
        <v>120</v>
      </c>
      <c r="H26" s="9" t="str">
        <f t="shared" si="0"/>
        <v>11 h</v>
      </c>
      <c r="I26" s="10" t="s">
        <v>121</v>
      </c>
      <c r="J26" s="10" t="s">
        <v>122</v>
      </c>
    </row>
    <row r="27" spans="1:10" ht="18" customHeight="1" x14ac:dyDescent="0.3">
      <c r="A27" s="11" t="s">
        <v>123</v>
      </c>
      <c r="B27" s="12" t="s">
        <v>124</v>
      </c>
      <c r="C27" s="12" t="s">
        <v>125</v>
      </c>
      <c r="D27" s="12" t="s">
        <v>126</v>
      </c>
      <c r="E27" s="11" t="s">
        <v>28</v>
      </c>
      <c r="F27" s="11" t="s">
        <v>34</v>
      </c>
      <c r="G27" s="11" t="s">
        <v>70</v>
      </c>
      <c r="H27" s="11" t="str">
        <f t="shared" si="0"/>
        <v>12 h</v>
      </c>
      <c r="I27" s="12" t="s">
        <v>30</v>
      </c>
      <c r="J27" s="12" t="s">
        <v>127</v>
      </c>
    </row>
    <row r="28" spans="1:10" ht="18" customHeight="1" x14ac:dyDescent="0.3">
      <c r="A28" s="11" t="s">
        <v>128</v>
      </c>
      <c r="B28" s="12" t="s">
        <v>124</v>
      </c>
      <c r="C28" s="12" t="s">
        <v>125</v>
      </c>
      <c r="D28" s="12" t="s">
        <v>126</v>
      </c>
      <c r="E28" s="11" t="s">
        <v>28</v>
      </c>
      <c r="F28" s="11" t="s">
        <v>34</v>
      </c>
      <c r="G28" s="11" t="s">
        <v>70</v>
      </c>
      <c r="H28" s="11" t="str">
        <f t="shared" si="0"/>
        <v>12 h</v>
      </c>
      <c r="I28" s="12" t="s">
        <v>110</v>
      </c>
      <c r="J28" s="12" t="s">
        <v>129</v>
      </c>
    </row>
    <row r="29" spans="1:10" ht="18" customHeight="1" x14ac:dyDescent="0.3">
      <c r="A29" s="9" t="s">
        <v>130</v>
      </c>
      <c r="B29" s="10" t="s">
        <v>131</v>
      </c>
      <c r="C29" s="10" t="s">
        <v>132</v>
      </c>
      <c r="D29" s="10" t="s">
        <v>133</v>
      </c>
      <c r="E29" s="9" t="s">
        <v>16</v>
      </c>
      <c r="F29" s="9" t="s">
        <v>34</v>
      </c>
      <c r="G29" s="9" t="s">
        <v>134</v>
      </c>
      <c r="H29" s="9" t="str">
        <f t="shared" si="0"/>
        <v>02 h</v>
      </c>
      <c r="I29" s="10" t="s">
        <v>135</v>
      </c>
      <c r="J29" s="10" t="s">
        <v>136</v>
      </c>
    </row>
    <row r="30" spans="1:10" ht="18" customHeight="1" x14ac:dyDescent="0.3">
      <c r="A30" s="11" t="s">
        <v>130</v>
      </c>
      <c r="B30" s="12" t="s">
        <v>137</v>
      </c>
      <c r="C30" s="12" t="s">
        <v>125</v>
      </c>
      <c r="D30" s="12" t="s">
        <v>138</v>
      </c>
      <c r="E30" s="11" t="s">
        <v>28</v>
      </c>
      <c r="F30" s="11" t="s">
        <v>134</v>
      </c>
      <c r="G30" s="11" t="s">
        <v>70</v>
      </c>
      <c r="H30" s="11" t="str">
        <f t="shared" si="0"/>
        <v>10 h</v>
      </c>
      <c r="I30" s="12" t="s">
        <v>79</v>
      </c>
      <c r="J30" s="12" t="s">
        <v>139</v>
      </c>
    </row>
    <row r="31" spans="1:10" ht="18" customHeight="1" x14ac:dyDescent="0.3">
      <c r="A31" s="11" t="s">
        <v>140</v>
      </c>
      <c r="B31" s="12" t="s">
        <v>137</v>
      </c>
      <c r="C31" s="12" t="s">
        <v>125</v>
      </c>
      <c r="D31" s="12" t="s">
        <v>141</v>
      </c>
      <c r="E31" s="11" t="s">
        <v>28</v>
      </c>
      <c r="F31" s="11" t="s">
        <v>44</v>
      </c>
      <c r="G31" s="11" t="s">
        <v>70</v>
      </c>
      <c r="H31" s="11" t="str">
        <f t="shared" si="0"/>
        <v>13 h</v>
      </c>
      <c r="I31" s="12" t="s">
        <v>79</v>
      </c>
      <c r="J31" s="12" t="s">
        <v>142</v>
      </c>
    </row>
    <row r="32" spans="1:10" ht="18" customHeight="1" x14ac:dyDescent="0.3">
      <c r="A32" s="11" t="s">
        <v>143</v>
      </c>
      <c r="B32" s="12" t="s">
        <v>137</v>
      </c>
      <c r="C32" s="12" t="s">
        <v>125</v>
      </c>
      <c r="D32" s="12" t="s">
        <v>141</v>
      </c>
      <c r="E32" s="11" t="s">
        <v>28</v>
      </c>
      <c r="F32" s="11" t="s">
        <v>44</v>
      </c>
      <c r="G32" s="11" t="s">
        <v>70</v>
      </c>
      <c r="H32" s="11" t="str">
        <f t="shared" si="0"/>
        <v>13 h</v>
      </c>
      <c r="I32" s="12" t="s">
        <v>79</v>
      </c>
      <c r="J32" s="12" t="s">
        <v>144</v>
      </c>
    </row>
    <row r="33" spans="1:10" ht="18" customHeight="1" x14ac:dyDescent="0.3">
      <c r="A33" s="9" t="s">
        <v>145</v>
      </c>
      <c r="B33" s="10" t="s">
        <v>146</v>
      </c>
      <c r="C33" s="10" t="s">
        <v>132</v>
      </c>
      <c r="D33" s="10" t="s">
        <v>147</v>
      </c>
      <c r="E33" s="9" t="s">
        <v>16</v>
      </c>
      <c r="F33" s="9" t="s">
        <v>34</v>
      </c>
      <c r="G33" s="9" t="s">
        <v>75</v>
      </c>
      <c r="H33" s="9" t="str">
        <f t="shared" si="0"/>
        <v>04 h</v>
      </c>
      <c r="I33" s="10" t="s">
        <v>148</v>
      </c>
      <c r="J33" s="10" t="s">
        <v>149</v>
      </c>
    </row>
    <row r="34" spans="1:10" ht="18" customHeight="1" x14ac:dyDescent="0.3">
      <c r="A34" s="11" t="s">
        <v>145</v>
      </c>
      <c r="B34" s="12" t="s">
        <v>150</v>
      </c>
      <c r="C34" s="12" t="s">
        <v>125</v>
      </c>
      <c r="D34" s="12" t="s">
        <v>151</v>
      </c>
      <c r="E34" s="11" t="s">
        <v>28</v>
      </c>
      <c r="F34" s="11" t="s">
        <v>75</v>
      </c>
      <c r="G34" s="11" t="s">
        <v>70</v>
      </c>
      <c r="H34" s="11" t="str">
        <f t="shared" si="0"/>
        <v>08 h</v>
      </c>
      <c r="I34" s="12" t="s">
        <v>30</v>
      </c>
      <c r="J34" s="12" t="s">
        <v>152</v>
      </c>
    </row>
    <row r="35" spans="1:10" ht="18" customHeight="1" x14ac:dyDescent="0.3">
      <c r="A35" s="11" t="s">
        <v>153</v>
      </c>
      <c r="B35" s="12" t="s">
        <v>154</v>
      </c>
      <c r="C35" s="12" t="s">
        <v>125</v>
      </c>
      <c r="D35" s="12" t="s">
        <v>155</v>
      </c>
      <c r="E35" s="11" t="s">
        <v>28</v>
      </c>
      <c r="F35" s="11" t="s">
        <v>44</v>
      </c>
      <c r="G35" s="11" t="s">
        <v>29</v>
      </c>
      <c r="H35" s="11" t="str">
        <f t="shared" si="0"/>
        <v>12 h</v>
      </c>
      <c r="I35" s="12" t="s">
        <v>156</v>
      </c>
      <c r="J35" s="12" t="s">
        <v>157</v>
      </c>
    </row>
    <row r="36" spans="1:10" ht="18" customHeight="1" x14ac:dyDescent="0.3">
      <c r="A36" s="9" t="s">
        <v>158</v>
      </c>
      <c r="B36" s="10" t="s">
        <v>159</v>
      </c>
      <c r="C36" s="10" t="s">
        <v>160</v>
      </c>
      <c r="D36" s="10" t="s">
        <v>161</v>
      </c>
      <c r="E36" s="9" t="s">
        <v>16</v>
      </c>
      <c r="F36" s="9" t="s">
        <v>162</v>
      </c>
      <c r="G36" s="9"/>
      <c r="H36" s="9"/>
      <c r="I36" s="10" t="s">
        <v>163</v>
      </c>
      <c r="J36" s="10" t="s">
        <v>164</v>
      </c>
    </row>
  </sheetData>
  <autoFilter ref="A3:J36" xr:uid="{00000000-0009-0000-0000-000000000000}"/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3"/>
  <sheetViews>
    <sheetView topLeftCell="A82" zoomScaleNormal="100" workbookViewId="0">
      <selection activeCell="H93" sqref="H93"/>
    </sheetView>
  </sheetViews>
  <sheetFormatPr baseColWidth="10" defaultColWidth="8.6640625" defaultRowHeight="14.4" x14ac:dyDescent="0.3"/>
  <cols>
    <col min="1" max="1" width="10" customWidth="1"/>
    <col min="2" max="2" width="14" customWidth="1"/>
    <col min="3" max="3" width="22" customWidth="1"/>
    <col min="4" max="4" width="16" customWidth="1"/>
    <col min="5" max="5" width="45" customWidth="1"/>
    <col min="6" max="6" width="35" customWidth="1"/>
    <col min="7" max="7" width="18" customWidth="1"/>
    <col min="8" max="8" width="40" customWidth="1"/>
  </cols>
  <sheetData>
    <row r="1" spans="1:8" ht="30" customHeight="1" x14ac:dyDescent="0.3">
      <c r="A1" s="5" t="s">
        <v>165</v>
      </c>
      <c r="B1" s="5"/>
      <c r="C1" s="5"/>
      <c r="D1" s="5"/>
      <c r="E1" s="5"/>
      <c r="F1" s="5"/>
      <c r="G1" s="5"/>
      <c r="H1" s="5"/>
    </row>
    <row r="2" spans="1:8" ht="27.75" customHeight="1" x14ac:dyDescent="0.3">
      <c r="A2" s="8" t="s">
        <v>2</v>
      </c>
      <c r="B2" s="8" t="s">
        <v>166</v>
      </c>
      <c r="C2" s="8" t="s">
        <v>3</v>
      </c>
      <c r="D2" s="8" t="s">
        <v>167</v>
      </c>
      <c r="E2" s="8" t="s">
        <v>168</v>
      </c>
      <c r="F2" s="8" t="s">
        <v>169</v>
      </c>
      <c r="G2" s="8" t="s">
        <v>170</v>
      </c>
      <c r="H2" s="8" t="s">
        <v>171</v>
      </c>
    </row>
    <row r="3" spans="1:8" ht="18" customHeight="1" x14ac:dyDescent="0.3">
      <c r="A3" s="15" t="s">
        <v>172</v>
      </c>
      <c r="B3" s="15" t="s">
        <v>173</v>
      </c>
      <c r="C3" s="16" t="s">
        <v>174</v>
      </c>
      <c r="D3" s="15" t="s">
        <v>175</v>
      </c>
      <c r="E3" s="16" t="s">
        <v>176</v>
      </c>
      <c r="F3" s="16" t="s">
        <v>177</v>
      </c>
      <c r="G3" s="16" t="s">
        <v>178</v>
      </c>
      <c r="H3" s="16" t="s">
        <v>179</v>
      </c>
    </row>
    <row r="4" spans="1:8" ht="18" customHeight="1" x14ac:dyDescent="0.3">
      <c r="A4" s="17" t="s">
        <v>172</v>
      </c>
      <c r="B4" s="17" t="s">
        <v>173</v>
      </c>
      <c r="C4" s="18" t="s">
        <v>174</v>
      </c>
      <c r="D4" s="17" t="s">
        <v>180</v>
      </c>
      <c r="E4" s="18" t="s">
        <v>181</v>
      </c>
      <c r="F4" s="18" t="s">
        <v>182</v>
      </c>
      <c r="G4" s="18" t="s">
        <v>183</v>
      </c>
      <c r="H4" s="18" t="s">
        <v>184</v>
      </c>
    </row>
    <row r="5" spans="1:8" ht="18" customHeight="1" x14ac:dyDescent="0.3">
      <c r="A5" s="15" t="s">
        <v>172</v>
      </c>
      <c r="B5" s="15" t="s">
        <v>173</v>
      </c>
      <c r="C5" s="16" t="s">
        <v>174</v>
      </c>
      <c r="D5" s="15" t="s">
        <v>185</v>
      </c>
      <c r="E5" s="16" t="s">
        <v>186</v>
      </c>
      <c r="F5" s="16" t="s">
        <v>187</v>
      </c>
      <c r="G5" s="16" t="s">
        <v>178</v>
      </c>
      <c r="H5" s="16" t="s">
        <v>188</v>
      </c>
    </row>
    <row r="6" spans="1:8" ht="18" customHeight="1" x14ac:dyDescent="0.3">
      <c r="A6" s="17" t="s">
        <v>172</v>
      </c>
      <c r="B6" s="17" t="s">
        <v>173</v>
      </c>
      <c r="C6" s="18" t="s">
        <v>189</v>
      </c>
      <c r="D6" s="17" t="s">
        <v>190</v>
      </c>
      <c r="E6" s="18" t="s">
        <v>22</v>
      </c>
      <c r="F6" s="18" t="s">
        <v>178</v>
      </c>
      <c r="G6" s="18" t="s">
        <v>18</v>
      </c>
      <c r="H6" s="18" t="s">
        <v>191</v>
      </c>
    </row>
    <row r="7" spans="1:8" ht="18" customHeight="1" x14ac:dyDescent="0.3">
      <c r="A7" s="15" t="s">
        <v>192</v>
      </c>
      <c r="B7" s="15" t="s">
        <v>193</v>
      </c>
      <c r="C7" s="16" t="s">
        <v>189</v>
      </c>
      <c r="D7" s="15" t="s">
        <v>194</v>
      </c>
      <c r="E7" s="16" t="s">
        <v>195</v>
      </c>
      <c r="F7" s="16" t="s">
        <v>178</v>
      </c>
      <c r="G7" s="16" t="s">
        <v>18</v>
      </c>
      <c r="H7" s="16" t="s">
        <v>196</v>
      </c>
    </row>
    <row r="8" spans="1:8" ht="18" customHeight="1" x14ac:dyDescent="0.3">
      <c r="A8" s="17" t="s">
        <v>192</v>
      </c>
      <c r="B8" s="17" t="s">
        <v>193</v>
      </c>
      <c r="C8" s="18" t="s">
        <v>25</v>
      </c>
      <c r="D8" s="17" t="s">
        <v>197</v>
      </c>
      <c r="E8" s="18" t="s">
        <v>198</v>
      </c>
      <c r="F8" s="18" t="s">
        <v>199</v>
      </c>
      <c r="G8" s="18" t="s">
        <v>178</v>
      </c>
      <c r="H8" s="18" t="s">
        <v>200</v>
      </c>
    </row>
    <row r="9" spans="1:8" ht="18" customHeight="1" x14ac:dyDescent="0.3">
      <c r="A9" s="15" t="s">
        <v>192</v>
      </c>
      <c r="B9" s="15" t="s">
        <v>193</v>
      </c>
      <c r="C9" s="16" t="s">
        <v>25</v>
      </c>
      <c r="D9" s="15" t="s">
        <v>201</v>
      </c>
      <c r="E9" s="16" t="s">
        <v>202</v>
      </c>
      <c r="F9" s="16" t="s">
        <v>203</v>
      </c>
      <c r="G9" s="16" t="s">
        <v>204</v>
      </c>
      <c r="H9" s="16" t="s">
        <v>205</v>
      </c>
    </row>
    <row r="10" spans="1:8" ht="18" customHeight="1" x14ac:dyDescent="0.3">
      <c r="A10" s="17" t="s">
        <v>192</v>
      </c>
      <c r="B10" s="17" t="s">
        <v>193</v>
      </c>
      <c r="C10" s="18" t="s">
        <v>25</v>
      </c>
      <c r="D10" s="17" t="s">
        <v>206</v>
      </c>
      <c r="E10" s="18" t="s">
        <v>207</v>
      </c>
      <c r="F10" s="18" t="s">
        <v>208</v>
      </c>
      <c r="G10" s="18" t="s">
        <v>178</v>
      </c>
      <c r="H10" s="18" t="s">
        <v>209</v>
      </c>
    </row>
    <row r="11" spans="1:8" ht="18" customHeight="1" x14ac:dyDescent="0.3">
      <c r="A11" s="15" t="s">
        <v>192</v>
      </c>
      <c r="B11" s="15" t="s">
        <v>193</v>
      </c>
      <c r="C11" s="16" t="s">
        <v>25</v>
      </c>
      <c r="D11" s="15" t="s">
        <v>210</v>
      </c>
      <c r="E11" s="16" t="s">
        <v>211</v>
      </c>
      <c r="F11" s="16" t="s">
        <v>212</v>
      </c>
      <c r="G11" s="16" t="s">
        <v>30</v>
      </c>
      <c r="H11" s="16" t="s">
        <v>213</v>
      </c>
    </row>
    <row r="12" spans="1:8" ht="18" customHeight="1" x14ac:dyDescent="0.3">
      <c r="A12" s="17" t="s">
        <v>192</v>
      </c>
      <c r="B12" s="17" t="s">
        <v>193</v>
      </c>
      <c r="C12" s="18" t="s">
        <v>25</v>
      </c>
      <c r="D12" s="17" t="s">
        <v>185</v>
      </c>
      <c r="E12" s="18" t="s">
        <v>214</v>
      </c>
      <c r="F12" s="18" t="s">
        <v>203</v>
      </c>
      <c r="G12" s="18" t="s">
        <v>30</v>
      </c>
      <c r="H12" s="18" t="s">
        <v>215</v>
      </c>
    </row>
    <row r="13" spans="1:8" ht="18" customHeight="1" x14ac:dyDescent="0.3">
      <c r="A13" s="15" t="s">
        <v>192</v>
      </c>
      <c r="B13" s="15" t="s">
        <v>193</v>
      </c>
      <c r="C13" s="16" t="s">
        <v>25</v>
      </c>
      <c r="D13" s="15" t="s">
        <v>190</v>
      </c>
      <c r="E13" s="16" t="s">
        <v>216</v>
      </c>
      <c r="F13" s="16" t="s">
        <v>217</v>
      </c>
      <c r="G13" s="16" t="s">
        <v>178</v>
      </c>
      <c r="H13" s="16" t="s">
        <v>218</v>
      </c>
    </row>
    <row r="14" spans="1:8" ht="18" customHeight="1" x14ac:dyDescent="0.3">
      <c r="A14" s="17" t="s">
        <v>219</v>
      </c>
      <c r="B14" s="17" t="s">
        <v>220</v>
      </c>
      <c r="C14" s="18" t="s">
        <v>25</v>
      </c>
      <c r="D14" s="17" t="s">
        <v>221</v>
      </c>
      <c r="E14" s="18" t="s">
        <v>222</v>
      </c>
      <c r="F14" s="18" t="s">
        <v>217</v>
      </c>
      <c r="G14" s="18" t="s">
        <v>178</v>
      </c>
      <c r="H14" s="18"/>
    </row>
    <row r="15" spans="1:8" ht="18" customHeight="1" x14ac:dyDescent="0.3">
      <c r="A15" s="15" t="s">
        <v>219</v>
      </c>
      <c r="B15" s="15" t="s">
        <v>220</v>
      </c>
      <c r="C15" s="16" t="s">
        <v>25</v>
      </c>
      <c r="D15" s="15" t="s">
        <v>223</v>
      </c>
      <c r="E15" s="16" t="s">
        <v>224</v>
      </c>
      <c r="F15" s="16" t="s">
        <v>225</v>
      </c>
      <c r="G15" s="16" t="s">
        <v>30</v>
      </c>
      <c r="H15" s="16" t="s">
        <v>226</v>
      </c>
    </row>
    <row r="16" spans="1:8" ht="18" customHeight="1" x14ac:dyDescent="0.3">
      <c r="A16" s="17" t="s">
        <v>219</v>
      </c>
      <c r="B16" s="17" t="s">
        <v>220</v>
      </c>
      <c r="C16" s="18" t="s">
        <v>25</v>
      </c>
      <c r="D16" s="17" t="s">
        <v>227</v>
      </c>
      <c r="E16" s="18" t="s">
        <v>228</v>
      </c>
      <c r="F16" s="18" t="s">
        <v>203</v>
      </c>
      <c r="G16" s="18" t="s">
        <v>30</v>
      </c>
      <c r="H16" s="18"/>
    </row>
    <row r="17" spans="1:8" ht="18" customHeight="1" x14ac:dyDescent="0.3">
      <c r="A17" s="15" t="s">
        <v>219</v>
      </c>
      <c r="B17" s="15" t="s">
        <v>220</v>
      </c>
      <c r="C17" s="16" t="s">
        <v>25</v>
      </c>
      <c r="D17" s="15" t="s">
        <v>229</v>
      </c>
      <c r="E17" s="16" t="s">
        <v>230</v>
      </c>
      <c r="F17" s="16" t="s">
        <v>231</v>
      </c>
      <c r="G17" s="16" t="s">
        <v>232</v>
      </c>
      <c r="H17" s="16" t="s">
        <v>233</v>
      </c>
    </row>
    <row r="18" spans="1:8" ht="18" customHeight="1" x14ac:dyDescent="0.3">
      <c r="A18" s="17" t="s">
        <v>219</v>
      </c>
      <c r="B18" s="17" t="s">
        <v>220</v>
      </c>
      <c r="C18" s="18" t="s">
        <v>25</v>
      </c>
      <c r="D18" s="17" t="s">
        <v>234</v>
      </c>
      <c r="E18" s="18" t="s">
        <v>235</v>
      </c>
      <c r="F18" s="18" t="s">
        <v>236</v>
      </c>
      <c r="G18" s="18" t="s">
        <v>237</v>
      </c>
      <c r="H18" s="18" t="s">
        <v>238</v>
      </c>
    </row>
    <row r="19" spans="1:8" ht="18" customHeight="1" x14ac:dyDescent="0.3">
      <c r="A19" s="15" t="s">
        <v>219</v>
      </c>
      <c r="B19" s="15" t="s">
        <v>220</v>
      </c>
      <c r="C19" s="16" t="s">
        <v>25</v>
      </c>
      <c r="D19" s="15" t="s">
        <v>239</v>
      </c>
      <c r="E19" s="16" t="s">
        <v>240</v>
      </c>
      <c r="F19" s="16" t="s">
        <v>203</v>
      </c>
      <c r="G19" s="16" t="s">
        <v>30</v>
      </c>
      <c r="H19" s="16"/>
    </row>
    <row r="20" spans="1:8" ht="18" customHeight="1" x14ac:dyDescent="0.3">
      <c r="A20" s="17" t="s">
        <v>241</v>
      </c>
      <c r="B20" s="17" t="s">
        <v>242</v>
      </c>
      <c r="C20" s="18" t="s">
        <v>25</v>
      </c>
      <c r="D20" s="17" t="s">
        <v>243</v>
      </c>
      <c r="E20" s="18" t="s">
        <v>244</v>
      </c>
      <c r="F20" s="18" t="s">
        <v>245</v>
      </c>
      <c r="G20" s="18" t="s">
        <v>30</v>
      </c>
      <c r="H20" s="18"/>
    </row>
    <row r="21" spans="1:8" ht="18" customHeight="1" x14ac:dyDescent="0.3">
      <c r="A21" s="15" t="s">
        <v>241</v>
      </c>
      <c r="B21" s="15" t="s">
        <v>242</v>
      </c>
      <c r="C21" s="16" t="s">
        <v>25</v>
      </c>
      <c r="D21" s="15" t="s">
        <v>246</v>
      </c>
      <c r="E21" s="16" t="s">
        <v>247</v>
      </c>
      <c r="F21" s="16" t="s">
        <v>203</v>
      </c>
      <c r="G21" s="16" t="s">
        <v>178</v>
      </c>
      <c r="H21" s="16"/>
    </row>
    <row r="22" spans="1:8" ht="18" customHeight="1" x14ac:dyDescent="0.3">
      <c r="A22" s="17" t="s">
        <v>241</v>
      </c>
      <c r="B22" s="17" t="s">
        <v>242</v>
      </c>
      <c r="C22" s="18" t="s">
        <v>25</v>
      </c>
      <c r="D22" s="17" t="s">
        <v>248</v>
      </c>
      <c r="E22" s="18" t="s">
        <v>249</v>
      </c>
      <c r="F22" s="18" t="s">
        <v>250</v>
      </c>
      <c r="G22" s="18" t="s">
        <v>178</v>
      </c>
      <c r="H22" s="18" t="s">
        <v>251</v>
      </c>
    </row>
    <row r="23" spans="1:8" ht="18" customHeight="1" x14ac:dyDescent="0.3">
      <c r="A23" s="15" t="s">
        <v>241</v>
      </c>
      <c r="B23" s="15" t="s">
        <v>242</v>
      </c>
      <c r="C23" s="16" t="s">
        <v>25</v>
      </c>
      <c r="D23" s="15" t="s">
        <v>252</v>
      </c>
      <c r="E23" s="16" t="s">
        <v>253</v>
      </c>
      <c r="F23" s="16" t="s">
        <v>203</v>
      </c>
      <c r="G23" s="16" t="s">
        <v>178</v>
      </c>
      <c r="H23" s="16" t="s">
        <v>254</v>
      </c>
    </row>
    <row r="24" spans="1:8" ht="18" customHeight="1" x14ac:dyDescent="0.3">
      <c r="A24" s="17" t="s">
        <v>255</v>
      </c>
      <c r="B24" s="17" t="s">
        <v>256</v>
      </c>
      <c r="C24" s="18" t="s">
        <v>257</v>
      </c>
      <c r="D24" s="17" t="s">
        <v>258</v>
      </c>
      <c r="E24" s="18" t="s">
        <v>259</v>
      </c>
      <c r="F24" s="18" t="s">
        <v>217</v>
      </c>
      <c r="G24" s="18" t="s">
        <v>178</v>
      </c>
      <c r="H24" s="18" t="s">
        <v>260</v>
      </c>
    </row>
    <row r="25" spans="1:8" ht="18" customHeight="1" x14ac:dyDescent="0.3">
      <c r="A25" s="15" t="s">
        <v>255</v>
      </c>
      <c r="B25" s="15" t="s">
        <v>256</v>
      </c>
      <c r="C25" s="16" t="s">
        <v>257</v>
      </c>
      <c r="D25" s="15" t="s">
        <v>261</v>
      </c>
      <c r="E25" s="16" t="s">
        <v>262</v>
      </c>
      <c r="F25" s="16" t="s">
        <v>263</v>
      </c>
      <c r="G25" s="16" t="s">
        <v>264</v>
      </c>
      <c r="H25" s="16" t="s">
        <v>265</v>
      </c>
    </row>
    <row r="26" spans="1:8" ht="18" customHeight="1" x14ac:dyDescent="0.3">
      <c r="A26" s="17" t="s">
        <v>255</v>
      </c>
      <c r="B26" s="17" t="s">
        <v>256</v>
      </c>
      <c r="C26" s="18" t="s">
        <v>266</v>
      </c>
      <c r="D26" s="17" t="s">
        <v>267</v>
      </c>
      <c r="E26" s="18" t="s">
        <v>268</v>
      </c>
      <c r="F26" s="18" t="s">
        <v>269</v>
      </c>
      <c r="G26" s="18" t="s">
        <v>30</v>
      </c>
      <c r="H26" s="18" t="s">
        <v>270</v>
      </c>
    </row>
    <row r="27" spans="1:8" ht="18" customHeight="1" x14ac:dyDescent="0.3">
      <c r="A27" s="15" t="s">
        <v>255</v>
      </c>
      <c r="B27" s="15" t="s">
        <v>256</v>
      </c>
      <c r="C27" s="16" t="s">
        <v>271</v>
      </c>
      <c r="D27" s="15" t="s">
        <v>272</v>
      </c>
      <c r="E27" s="16" t="s">
        <v>273</v>
      </c>
      <c r="F27" s="16" t="s">
        <v>274</v>
      </c>
      <c r="G27" s="16" t="s">
        <v>30</v>
      </c>
      <c r="H27" s="16" t="s">
        <v>275</v>
      </c>
    </row>
    <row r="28" spans="1:8" ht="18" customHeight="1" x14ac:dyDescent="0.3">
      <c r="A28" s="17" t="s">
        <v>255</v>
      </c>
      <c r="B28" s="17" t="s">
        <v>256</v>
      </c>
      <c r="C28" s="18" t="s">
        <v>276</v>
      </c>
      <c r="D28" s="17" t="s">
        <v>277</v>
      </c>
      <c r="E28" s="18" t="s">
        <v>278</v>
      </c>
      <c r="F28" s="18" t="s">
        <v>203</v>
      </c>
      <c r="G28" s="18" t="s">
        <v>178</v>
      </c>
      <c r="H28" s="18" t="s">
        <v>279</v>
      </c>
    </row>
    <row r="29" spans="1:8" ht="18" customHeight="1" x14ac:dyDescent="0.3">
      <c r="A29" s="15" t="s">
        <v>280</v>
      </c>
      <c r="B29" s="15" t="s">
        <v>281</v>
      </c>
      <c r="C29" s="16" t="s">
        <v>282</v>
      </c>
      <c r="D29" s="15" t="s">
        <v>283</v>
      </c>
      <c r="E29" s="16" t="s">
        <v>284</v>
      </c>
      <c r="F29" s="16" t="s">
        <v>274</v>
      </c>
      <c r="G29" s="16" t="s">
        <v>30</v>
      </c>
      <c r="H29" s="16" t="s">
        <v>285</v>
      </c>
    </row>
    <row r="30" spans="1:8" ht="18" customHeight="1" x14ac:dyDescent="0.3">
      <c r="A30" s="17" t="s">
        <v>280</v>
      </c>
      <c r="B30" s="17" t="s">
        <v>281</v>
      </c>
      <c r="C30" s="18" t="s">
        <v>286</v>
      </c>
      <c r="D30" s="17" t="s">
        <v>277</v>
      </c>
      <c r="E30" s="18" t="s">
        <v>287</v>
      </c>
      <c r="F30" s="18" t="s">
        <v>286</v>
      </c>
      <c r="G30" s="18" t="s">
        <v>178</v>
      </c>
      <c r="H30" s="18"/>
    </row>
    <row r="31" spans="1:8" ht="18" customHeight="1" x14ac:dyDescent="0.3">
      <c r="A31" s="15" t="s">
        <v>288</v>
      </c>
      <c r="B31" s="15" t="s">
        <v>289</v>
      </c>
      <c r="C31" s="16" t="s">
        <v>290</v>
      </c>
      <c r="D31" s="15" t="s">
        <v>283</v>
      </c>
      <c r="E31" s="16" t="s">
        <v>291</v>
      </c>
      <c r="F31" s="16" t="s">
        <v>274</v>
      </c>
      <c r="G31" s="16" t="s">
        <v>30</v>
      </c>
      <c r="H31" s="16" t="s">
        <v>292</v>
      </c>
    </row>
    <row r="32" spans="1:8" ht="18" customHeight="1" x14ac:dyDescent="0.3">
      <c r="A32" s="17" t="s">
        <v>288</v>
      </c>
      <c r="B32" s="17" t="s">
        <v>289</v>
      </c>
      <c r="C32" s="18" t="s">
        <v>293</v>
      </c>
      <c r="D32" s="17" t="s">
        <v>277</v>
      </c>
      <c r="E32" s="18" t="s">
        <v>294</v>
      </c>
      <c r="F32" s="18" t="s">
        <v>295</v>
      </c>
      <c r="G32" s="18" t="s">
        <v>178</v>
      </c>
      <c r="H32" s="18"/>
    </row>
    <row r="33" spans="1:8" ht="18" customHeight="1" x14ac:dyDescent="0.3">
      <c r="A33" s="15" t="s">
        <v>296</v>
      </c>
      <c r="B33" s="15" t="s">
        <v>297</v>
      </c>
      <c r="C33" s="16" t="s">
        <v>298</v>
      </c>
      <c r="D33" s="15" t="s">
        <v>283</v>
      </c>
      <c r="E33" s="16" t="s">
        <v>299</v>
      </c>
      <c r="F33" s="16" t="s">
        <v>274</v>
      </c>
      <c r="G33" s="16" t="s">
        <v>30</v>
      </c>
      <c r="H33" s="16" t="s">
        <v>300</v>
      </c>
    </row>
    <row r="34" spans="1:8" ht="18" customHeight="1" x14ac:dyDescent="0.3">
      <c r="A34" s="17" t="s">
        <v>296</v>
      </c>
      <c r="B34" s="17" t="s">
        <v>297</v>
      </c>
      <c r="C34" s="18" t="s">
        <v>301</v>
      </c>
      <c r="D34" s="17" t="s">
        <v>277</v>
      </c>
      <c r="E34" s="18" t="s">
        <v>278</v>
      </c>
      <c r="F34" s="18" t="s">
        <v>203</v>
      </c>
      <c r="G34" s="18" t="s">
        <v>178</v>
      </c>
      <c r="H34" s="18"/>
    </row>
    <row r="35" spans="1:8" ht="18" customHeight="1" x14ac:dyDescent="0.3">
      <c r="A35" s="15" t="s">
        <v>302</v>
      </c>
      <c r="B35" s="15" t="s">
        <v>303</v>
      </c>
      <c r="C35" s="16" t="s">
        <v>304</v>
      </c>
      <c r="D35" s="15" t="s">
        <v>283</v>
      </c>
      <c r="E35" s="16" t="s">
        <v>305</v>
      </c>
      <c r="F35" s="16" t="s">
        <v>274</v>
      </c>
      <c r="G35" s="16" t="s">
        <v>30</v>
      </c>
      <c r="H35" s="16" t="s">
        <v>306</v>
      </c>
    </row>
    <row r="36" spans="1:8" ht="18" customHeight="1" x14ac:dyDescent="0.3">
      <c r="A36" s="17" t="s">
        <v>302</v>
      </c>
      <c r="B36" s="17" t="s">
        <v>303</v>
      </c>
      <c r="C36" s="18" t="s">
        <v>307</v>
      </c>
      <c r="D36" s="17" t="s">
        <v>277</v>
      </c>
      <c r="E36" s="18" t="s">
        <v>278</v>
      </c>
      <c r="F36" s="18" t="s">
        <v>203</v>
      </c>
      <c r="G36" s="18" t="s">
        <v>178</v>
      </c>
      <c r="H36" s="18"/>
    </row>
    <row r="37" spans="1:8" ht="18" customHeight="1" x14ac:dyDescent="0.3">
      <c r="A37" s="15" t="s">
        <v>308</v>
      </c>
      <c r="B37" s="15" t="s">
        <v>309</v>
      </c>
      <c r="C37" s="16" t="s">
        <v>310</v>
      </c>
      <c r="D37" s="15" t="s">
        <v>311</v>
      </c>
      <c r="E37" s="16" t="s">
        <v>312</v>
      </c>
      <c r="F37" s="16" t="s">
        <v>274</v>
      </c>
      <c r="G37" s="16" t="s">
        <v>30</v>
      </c>
      <c r="H37" s="16" t="s">
        <v>313</v>
      </c>
    </row>
    <row r="38" spans="1:8" ht="18" customHeight="1" x14ac:dyDescent="0.3">
      <c r="A38" s="17" t="s">
        <v>308</v>
      </c>
      <c r="B38" s="17" t="s">
        <v>309</v>
      </c>
      <c r="C38" s="18" t="s">
        <v>68</v>
      </c>
      <c r="D38" s="17" t="s">
        <v>314</v>
      </c>
      <c r="E38" s="18" t="s">
        <v>315</v>
      </c>
      <c r="F38" s="18" t="s">
        <v>316</v>
      </c>
      <c r="G38" s="18" t="s">
        <v>30</v>
      </c>
      <c r="H38" s="18" t="s">
        <v>317</v>
      </c>
    </row>
    <row r="39" spans="1:8" ht="18" customHeight="1" x14ac:dyDescent="0.3">
      <c r="A39" s="15" t="s">
        <v>308</v>
      </c>
      <c r="B39" s="15" t="s">
        <v>309</v>
      </c>
      <c r="C39" s="16" t="s">
        <v>68</v>
      </c>
      <c r="D39" s="15" t="s">
        <v>318</v>
      </c>
      <c r="E39" s="16" t="s">
        <v>319</v>
      </c>
      <c r="F39" s="16" t="s">
        <v>320</v>
      </c>
      <c r="G39" s="16" t="s">
        <v>178</v>
      </c>
      <c r="H39" s="16" t="s">
        <v>321</v>
      </c>
    </row>
    <row r="40" spans="1:8" ht="18" customHeight="1" x14ac:dyDescent="0.3">
      <c r="A40" s="17" t="s">
        <v>308</v>
      </c>
      <c r="B40" s="17" t="s">
        <v>309</v>
      </c>
      <c r="C40" s="18" t="s">
        <v>68</v>
      </c>
      <c r="D40" s="17" t="s">
        <v>252</v>
      </c>
      <c r="E40" s="18" t="s">
        <v>322</v>
      </c>
      <c r="F40" s="18" t="s">
        <v>323</v>
      </c>
      <c r="G40" s="18" t="s">
        <v>178</v>
      </c>
      <c r="H40" s="18" t="s">
        <v>324</v>
      </c>
    </row>
    <row r="41" spans="1:8" ht="18" customHeight="1" x14ac:dyDescent="0.3">
      <c r="A41" s="15" t="s">
        <v>325</v>
      </c>
      <c r="B41" s="15" t="s">
        <v>326</v>
      </c>
      <c r="C41" s="16" t="s">
        <v>73</v>
      </c>
      <c r="D41" s="15" t="s">
        <v>327</v>
      </c>
      <c r="E41" s="16" t="s">
        <v>328</v>
      </c>
      <c r="F41" s="16" t="s">
        <v>329</v>
      </c>
      <c r="G41" s="16" t="s">
        <v>330</v>
      </c>
      <c r="H41" s="16" t="s">
        <v>331</v>
      </c>
    </row>
    <row r="42" spans="1:8" ht="18" customHeight="1" x14ac:dyDescent="0.3">
      <c r="A42" s="17" t="s">
        <v>325</v>
      </c>
      <c r="B42" s="17" t="s">
        <v>326</v>
      </c>
      <c r="C42" s="18" t="s">
        <v>73</v>
      </c>
      <c r="D42" s="17" t="s">
        <v>332</v>
      </c>
      <c r="E42" s="18" t="s">
        <v>333</v>
      </c>
      <c r="F42" s="18" t="s">
        <v>334</v>
      </c>
      <c r="G42" s="18" t="s">
        <v>18</v>
      </c>
      <c r="H42" s="18" t="s">
        <v>335</v>
      </c>
    </row>
    <row r="43" spans="1:8" ht="18" customHeight="1" x14ac:dyDescent="0.3">
      <c r="A43" s="15" t="s">
        <v>325</v>
      </c>
      <c r="B43" s="15" t="s">
        <v>326</v>
      </c>
      <c r="C43" s="16" t="s">
        <v>77</v>
      </c>
      <c r="D43" s="15" t="s">
        <v>246</v>
      </c>
      <c r="E43" s="16" t="s">
        <v>336</v>
      </c>
      <c r="F43" s="16" t="s">
        <v>337</v>
      </c>
      <c r="G43" s="16" t="s">
        <v>204</v>
      </c>
      <c r="H43" s="16" t="s">
        <v>338</v>
      </c>
    </row>
    <row r="44" spans="1:8" ht="18" customHeight="1" x14ac:dyDescent="0.3">
      <c r="A44" s="17" t="s">
        <v>325</v>
      </c>
      <c r="B44" s="17" t="s">
        <v>326</v>
      </c>
      <c r="C44" s="18" t="s">
        <v>77</v>
      </c>
      <c r="D44" s="17" t="s">
        <v>339</v>
      </c>
      <c r="E44" s="18" t="s">
        <v>340</v>
      </c>
      <c r="F44" s="18" t="s">
        <v>341</v>
      </c>
      <c r="G44" s="18" t="s">
        <v>79</v>
      </c>
      <c r="H44" s="18" t="s">
        <v>342</v>
      </c>
    </row>
    <row r="45" spans="1:8" ht="18" customHeight="1" x14ac:dyDescent="0.3">
      <c r="A45" s="15" t="s">
        <v>343</v>
      </c>
      <c r="B45" s="15" t="s">
        <v>344</v>
      </c>
      <c r="C45" s="16" t="s">
        <v>77</v>
      </c>
      <c r="D45" s="15" t="s">
        <v>345</v>
      </c>
      <c r="E45" s="16" t="s">
        <v>346</v>
      </c>
      <c r="F45" s="16" t="s">
        <v>347</v>
      </c>
      <c r="G45" s="16" t="s">
        <v>348</v>
      </c>
      <c r="H45" s="16" t="s">
        <v>349</v>
      </c>
    </row>
    <row r="46" spans="1:8" ht="18" customHeight="1" x14ac:dyDescent="0.3">
      <c r="A46" s="17" t="s">
        <v>343</v>
      </c>
      <c r="B46" s="17" t="s">
        <v>344</v>
      </c>
      <c r="C46" s="18" t="s">
        <v>77</v>
      </c>
      <c r="D46" s="17" t="s">
        <v>350</v>
      </c>
      <c r="E46" s="18" t="s">
        <v>351</v>
      </c>
      <c r="F46" s="18" t="s">
        <v>352</v>
      </c>
      <c r="G46" s="18" t="s">
        <v>30</v>
      </c>
      <c r="H46" s="18"/>
    </row>
    <row r="47" spans="1:8" ht="18" customHeight="1" x14ac:dyDescent="0.3">
      <c r="A47" s="15" t="s">
        <v>343</v>
      </c>
      <c r="B47" s="15" t="s">
        <v>344</v>
      </c>
      <c r="C47" s="16" t="s">
        <v>77</v>
      </c>
      <c r="D47" s="15" t="s">
        <v>353</v>
      </c>
      <c r="E47" s="16" t="s">
        <v>354</v>
      </c>
      <c r="F47" s="16" t="s">
        <v>355</v>
      </c>
      <c r="G47" s="16" t="s">
        <v>30</v>
      </c>
      <c r="H47" s="16"/>
    </row>
    <row r="48" spans="1:8" ht="18" customHeight="1" x14ac:dyDescent="0.3">
      <c r="A48" s="17" t="s">
        <v>343</v>
      </c>
      <c r="B48" s="17" t="s">
        <v>344</v>
      </c>
      <c r="C48" s="18" t="s">
        <v>77</v>
      </c>
      <c r="D48" s="17" t="s">
        <v>239</v>
      </c>
      <c r="E48" s="18" t="s">
        <v>356</v>
      </c>
      <c r="F48" s="18" t="s">
        <v>357</v>
      </c>
      <c r="G48" s="18" t="s">
        <v>30</v>
      </c>
      <c r="H48" s="18"/>
    </row>
    <row r="49" spans="1:8" ht="18" customHeight="1" x14ac:dyDescent="0.3">
      <c r="A49" s="15" t="s">
        <v>358</v>
      </c>
      <c r="B49" s="15" t="s">
        <v>359</v>
      </c>
      <c r="C49" s="16" t="s">
        <v>77</v>
      </c>
      <c r="D49" s="15" t="s">
        <v>243</v>
      </c>
      <c r="E49" s="16" t="s">
        <v>360</v>
      </c>
      <c r="F49" s="16" t="s">
        <v>361</v>
      </c>
      <c r="G49" s="16" t="s">
        <v>348</v>
      </c>
      <c r="H49" s="16" t="s">
        <v>362</v>
      </c>
    </row>
    <row r="50" spans="1:8" ht="18" customHeight="1" x14ac:dyDescent="0.3">
      <c r="A50" s="17" t="s">
        <v>358</v>
      </c>
      <c r="B50" s="17" t="s">
        <v>359</v>
      </c>
      <c r="C50" s="18" t="s">
        <v>77</v>
      </c>
      <c r="D50" s="17" t="s">
        <v>246</v>
      </c>
      <c r="E50" s="18" t="s">
        <v>363</v>
      </c>
      <c r="F50" s="18" t="s">
        <v>364</v>
      </c>
      <c r="G50" s="18" t="s">
        <v>30</v>
      </c>
      <c r="H50" s="18"/>
    </row>
    <row r="51" spans="1:8" ht="18" customHeight="1" x14ac:dyDescent="0.3">
      <c r="A51" s="15" t="s">
        <v>358</v>
      </c>
      <c r="B51" s="15" t="s">
        <v>359</v>
      </c>
      <c r="C51" s="16" t="s">
        <v>77</v>
      </c>
      <c r="D51" s="15" t="s">
        <v>210</v>
      </c>
      <c r="E51" s="16" t="s">
        <v>365</v>
      </c>
      <c r="F51" s="16" t="s">
        <v>366</v>
      </c>
      <c r="G51" s="16" t="s">
        <v>30</v>
      </c>
      <c r="H51" s="16"/>
    </row>
    <row r="52" spans="1:8" ht="18" customHeight="1" x14ac:dyDescent="0.3">
      <c r="A52" s="17" t="s">
        <v>358</v>
      </c>
      <c r="B52" s="17" t="s">
        <v>359</v>
      </c>
      <c r="C52" s="18" t="s">
        <v>77</v>
      </c>
      <c r="D52" s="17" t="s">
        <v>239</v>
      </c>
      <c r="E52" s="18" t="s">
        <v>367</v>
      </c>
      <c r="F52" s="18" t="s">
        <v>203</v>
      </c>
      <c r="G52" s="18" t="s">
        <v>178</v>
      </c>
      <c r="H52" s="18"/>
    </row>
    <row r="53" spans="1:8" ht="18" customHeight="1" x14ac:dyDescent="0.3">
      <c r="A53" s="15" t="s">
        <v>368</v>
      </c>
      <c r="B53" s="15" t="s">
        <v>369</v>
      </c>
      <c r="C53" s="16" t="s">
        <v>87</v>
      </c>
      <c r="D53" s="15" t="s">
        <v>370</v>
      </c>
      <c r="E53" s="16" t="s">
        <v>371</v>
      </c>
      <c r="F53" s="16" t="s">
        <v>372</v>
      </c>
      <c r="G53" s="16" t="s">
        <v>348</v>
      </c>
      <c r="H53" s="16"/>
    </row>
    <row r="54" spans="1:8" ht="18" customHeight="1" x14ac:dyDescent="0.3">
      <c r="A54" s="17" t="s">
        <v>368</v>
      </c>
      <c r="B54" s="17" t="s">
        <v>369</v>
      </c>
      <c r="C54" s="18" t="s">
        <v>87</v>
      </c>
      <c r="D54" s="17" t="s">
        <v>373</v>
      </c>
      <c r="E54" s="18" t="s">
        <v>374</v>
      </c>
      <c r="F54" s="18" t="s">
        <v>178</v>
      </c>
      <c r="G54" s="18" t="s">
        <v>18</v>
      </c>
      <c r="H54" s="18" t="s">
        <v>375</v>
      </c>
    </row>
    <row r="55" spans="1:8" ht="18" customHeight="1" x14ac:dyDescent="0.3">
      <c r="A55" s="15" t="s">
        <v>368</v>
      </c>
      <c r="B55" s="15" t="s">
        <v>369</v>
      </c>
      <c r="C55" s="16" t="s">
        <v>92</v>
      </c>
      <c r="D55" s="15" t="s">
        <v>376</v>
      </c>
      <c r="E55" s="16" t="s">
        <v>377</v>
      </c>
      <c r="F55" s="16" t="s">
        <v>378</v>
      </c>
      <c r="G55" s="16" t="s">
        <v>379</v>
      </c>
      <c r="H55" s="16"/>
    </row>
    <row r="56" spans="1:8" ht="18" customHeight="1" x14ac:dyDescent="0.3">
      <c r="A56" s="17" t="s">
        <v>368</v>
      </c>
      <c r="B56" s="17" t="s">
        <v>369</v>
      </c>
      <c r="C56" s="18" t="s">
        <v>92</v>
      </c>
      <c r="D56" s="17" t="s">
        <v>339</v>
      </c>
      <c r="E56" s="18" t="s">
        <v>380</v>
      </c>
      <c r="F56" s="18" t="s">
        <v>381</v>
      </c>
      <c r="G56" s="18" t="s">
        <v>30</v>
      </c>
      <c r="H56" s="18" t="s">
        <v>382</v>
      </c>
    </row>
    <row r="57" spans="1:8" ht="18" customHeight="1" x14ac:dyDescent="0.3">
      <c r="A57" s="15" t="s">
        <v>383</v>
      </c>
      <c r="B57" s="15" t="s">
        <v>384</v>
      </c>
      <c r="C57" s="16" t="s">
        <v>385</v>
      </c>
      <c r="D57" s="15" t="s">
        <v>386</v>
      </c>
      <c r="E57" s="16" t="s">
        <v>98</v>
      </c>
      <c r="F57" s="16" t="s">
        <v>387</v>
      </c>
      <c r="G57" s="16" t="s">
        <v>99</v>
      </c>
      <c r="H57" s="16" t="s">
        <v>388</v>
      </c>
    </row>
    <row r="58" spans="1:8" ht="18" customHeight="1" x14ac:dyDescent="0.3">
      <c r="A58" s="17" t="s">
        <v>383</v>
      </c>
      <c r="B58" s="17" t="s">
        <v>384</v>
      </c>
      <c r="C58" s="18" t="s">
        <v>92</v>
      </c>
      <c r="D58" s="17" t="s">
        <v>239</v>
      </c>
      <c r="E58" s="18" t="s">
        <v>389</v>
      </c>
      <c r="F58" s="18" t="s">
        <v>203</v>
      </c>
      <c r="G58" s="18" t="s">
        <v>178</v>
      </c>
      <c r="H58" s="18"/>
    </row>
    <row r="59" spans="1:8" ht="18" customHeight="1" x14ac:dyDescent="0.3">
      <c r="A59" s="15" t="s">
        <v>390</v>
      </c>
      <c r="B59" s="15" t="s">
        <v>391</v>
      </c>
      <c r="C59" s="16" t="s">
        <v>102</v>
      </c>
      <c r="D59" s="15" t="s">
        <v>392</v>
      </c>
      <c r="E59" s="16" t="s">
        <v>393</v>
      </c>
      <c r="F59" s="16" t="s">
        <v>394</v>
      </c>
      <c r="G59" s="16" t="s">
        <v>395</v>
      </c>
      <c r="H59" s="16" t="s">
        <v>396</v>
      </c>
    </row>
    <row r="60" spans="1:8" ht="18" customHeight="1" x14ac:dyDescent="0.3">
      <c r="A60" s="17" t="s">
        <v>390</v>
      </c>
      <c r="B60" s="17" t="s">
        <v>391</v>
      </c>
      <c r="C60" s="18" t="s">
        <v>108</v>
      </c>
      <c r="D60" s="17" t="s">
        <v>201</v>
      </c>
      <c r="E60" s="18" t="s">
        <v>397</v>
      </c>
      <c r="F60" s="18" t="s">
        <v>203</v>
      </c>
      <c r="G60" s="18" t="s">
        <v>178</v>
      </c>
      <c r="H60" s="18"/>
    </row>
    <row r="61" spans="1:8" ht="18" customHeight="1" x14ac:dyDescent="0.3">
      <c r="A61" s="15" t="s">
        <v>390</v>
      </c>
      <c r="B61" s="15" t="s">
        <v>391</v>
      </c>
      <c r="C61" s="16" t="s">
        <v>108</v>
      </c>
      <c r="D61" s="15" t="s">
        <v>398</v>
      </c>
      <c r="E61" s="16" t="s">
        <v>111</v>
      </c>
      <c r="F61" s="16" t="s">
        <v>399</v>
      </c>
      <c r="G61" s="16" t="s">
        <v>110</v>
      </c>
      <c r="H61" s="16" t="s">
        <v>400</v>
      </c>
    </row>
    <row r="62" spans="1:8" ht="18" customHeight="1" x14ac:dyDescent="0.3">
      <c r="A62" s="17" t="s">
        <v>401</v>
      </c>
      <c r="B62" s="17" t="s">
        <v>402</v>
      </c>
      <c r="C62" s="18" t="s">
        <v>108</v>
      </c>
      <c r="D62" s="17" t="s">
        <v>403</v>
      </c>
      <c r="E62" s="18" t="s">
        <v>404</v>
      </c>
      <c r="F62" s="18" t="s">
        <v>405</v>
      </c>
      <c r="G62" s="18" t="s">
        <v>406</v>
      </c>
      <c r="H62" s="18" t="s">
        <v>407</v>
      </c>
    </row>
    <row r="63" spans="1:8" ht="18" customHeight="1" x14ac:dyDescent="0.3">
      <c r="A63" s="15" t="s">
        <v>401</v>
      </c>
      <c r="B63" s="15" t="s">
        <v>402</v>
      </c>
      <c r="C63" s="16" t="s">
        <v>108</v>
      </c>
      <c r="D63" s="15" t="s">
        <v>252</v>
      </c>
      <c r="E63" s="16" t="s">
        <v>408</v>
      </c>
      <c r="F63" s="16" t="s">
        <v>409</v>
      </c>
      <c r="G63" s="16" t="s">
        <v>30</v>
      </c>
      <c r="H63" s="16" t="s">
        <v>410</v>
      </c>
    </row>
    <row r="64" spans="1:8" ht="18" customHeight="1" x14ac:dyDescent="0.3">
      <c r="A64" s="17" t="s">
        <v>411</v>
      </c>
      <c r="B64" s="17" t="s">
        <v>412</v>
      </c>
      <c r="C64" s="18" t="s">
        <v>117</v>
      </c>
      <c r="D64" s="17" t="s">
        <v>413</v>
      </c>
      <c r="E64" s="18" t="s">
        <v>414</v>
      </c>
      <c r="F64" s="18" t="s">
        <v>415</v>
      </c>
      <c r="G64" s="18" t="s">
        <v>121</v>
      </c>
      <c r="H64" s="18" t="s">
        <v>416</v>
      </c>
    </row>
    <row r="65" spans="1:8" ht="18" customHeight="1" x14ac:dyDescent="0.3">
      <c r="A65" s="15" t="s">
        <v>411</v>
      </c>
      <c r="B65" s="15" t="s">
        <v>412</v>
      </c>
      <c r="C65" s="16" t="s">
        <v>124</v>
      </c>
      <c r="D65" s="15" t="s">
        <v>417</v>
      </c>
      <c r="E65" s="16" t="s">
        <v>418</v>
      </c>
      <c r="F65" s="16" t="s">
        <v>203</v>
      </c>
      <c r="G65" s="16" t="s">
        <v>178</v>
      </c>
      <c r="H65" s="16"/>
    </row>
    <row r="66" spans="1:8" ht="18" customHeight="1" x14ac:dyDescent="0.3">
      <c r="A66" s="17" t="s">
        <v>419</v>
      </c>
      <c r="B66" s="17" t="s">
        <v>420</v>
      </c>
      <c r="C66" s="18" t="s">
        <v>124</v>
      </c>
      <c r="D66" s="17" t="s">
        <v>421</v>
      </c>
      <c r="E66" s="18" t="s">
        <v>422</v>
      </c>
      <c r="F66" s="18" t="s">
        <v>423</v>
      </c>
      <c r="G66" s="18" t="s">
        <v>30</v>
      </c>
      <c r="H66" s="18" t="s">
        <v>424</v>
      </c>
    </row>
    <row r="67" spans="1:8" ht="18" customHeight="1" x14ac:dyDescent="0.3">
      <c r="A67" s="15" t="s">
        <v>419</v>
      </c>
      <c r="B67" s="15" t="s">
        <v>420</v>
      </c>
      <c r="C67" s="16" t="s">
        <v>124</v>
      </c>
      <c r="D67" s="15" t="s">
        <v>201</v>
      </c>
      <c r="E67" s="16" t="s">
        <v>425</v>
      </c>
      <c r="F67" s="16" t="s">
        <v>426</v>
      </c>
      <c r="G67" s="16" t="s">
        <v>30</v>
      </c>
      <c r="H67" s="16"/>
    </row>
    <row r="68" spans="1:8" ht="18" customHeight="1" x14ac:dyDescent="0.3">
      <c r="A68" s="17" t="s">
        <v>419</v>
      </c>
      <c r="B68" s="17" t="s">
        <v>420</v>
      </c>
      <c r="C68" s="18" t="s">
        <v>124</v>
      </c>
      <c r="D68" s="17" t="s">
        <v>427</v>
      </c>
      <c r="E68" s="18" t="s">
        <v>428</v>
      </c>
      <c r="F68" s="18" t="s">
        <v>429</v>
      </c>
      <c r="G68" s="18" t="s">
        <v>30</v>
      </c>
      <c r="H68" s="18" t="s">
        <v>430</v>
      </c>
    </row>
    <row r="69" spans="1:8" ht="18" customHeight="1" x14ac:dyDescent="0.3">
      <c r="A69" s="15" t="s">
        <v>419</v>
      </c>
      <c r="B69" s="15" t="s">
        <v>420</v>
      </c>
      <c r="C69" s="16" t="s">
        <v>124</v>
      </c>
      <c r="D69" s="15" t="s">
        <v>431</v>
      </c>
      <c r="E69" s="16" t="s">
        <v>432</v>
      </c>
      <c r="F69" s="16" t="s">
        <v>433</v>
      </c>
      <c r="G69" s="16" t="s">
        <v>30</v>
      </c>
      <c r="H69" s="16" t="s">
        <v>434</v>
      </c>
    </row>
    <row r="70" spans="1:8" ht="18" customHeight="1" x14ac:dyDescent="0.3">
      <c r="A70" s="17" t="s">
        <v>435</v>
      </c>
      <c r="B70" s="17" t="s">
        <v>436</v>
      </c>
      <c r="C70" s="18" t="s">
        <v>124</v>
      </c>
      <c r="D70" s="17" t="s">
        <v>392</v>
      </c>
      <c r="E70" s="18" t="s">
        <v>437</v>
      </c>
      <c r="F70" s="18" t="s">
        <v>438</v>
      </c>
      <c r="G70" s="18" t="s">
        <v>30</v>
      </c>
      <c r="H70" s="18" t="s">
        <v>439</v>
      </c>
    </row>
    <row r="71" spans="1:8" ht="18" customHeight="1" x14ac:dyDescent="0.3">
      <c r="A71" s="15" t="s">
        <v>435</v>
      </c>
      <c r="B71" s="15" t="s">
        <v>436</v>
      </c>
      <c r="C71" s="16" t="s">
        <v>124</v>
      </c>
      <c r="D71" s="15" t="s">
        <v>201</v>
      </c>
      <c r="E71" s="16" t="s">
        <v>247</v>
      </c>
      <c r="F71" s="16" t="s">
        <v>203</v>
      </c>
      <c r="G71" s="16" t="s">
        <v>178</v>
      </c>
      <c r="H71" s="16"/>
    </row>
    <row r="72" spans="1:8" ht="18" customHeight="1" x14ac:dyDescent="0.3">
      <c r="A72" s="17" t="s">
        <v>435</v>
      </c>
      <c r="B72" s="17" t="s">
        <v>436</v>
      </c>
      <c r="C72" s="18" t="s">
        <v>124</v>
      </c>
      <c r="D72" s="17" t="s">
        <v>427</v>
      </c>
      <c r="E72" s="18" t="s">
        <v>440</v>
      </c>
      <c r="F72" s="18" t="s">
        <v>441</v>
      </c>
      <c r="G72" s="18" t="s">
        <v>442</v>
      </c>
      <c r="H72" s="18" t="s">
        <v>443</v>
      </c>
    </row>
    <row r="73" spans="1:8" ht="18" customHeight="1" x14ac:dyDescent="0.3">
      <c r="A73" s="15" t="s">
        <v>435</v>
      </c>
      <c r="B73" s="15" t="s">
        <v>436</v>
      </c>
      <c r="C73" s="16" t="s">
        <v>124</v>
      </c>
      <c r="D73" s="15" t="s">
        <v>444</v>
      </c>
      <c r="E73" s="16" t="s">
        <v>445</v>
      </c>
      <c r="F73" s="16" t="s">
        <v>203</v>
      </c>
      <c r="G73" s="16" t="s">
        <v>178</v>
      </c>
      <c r="H73" s="16"/>
    </row>
    <row r="74" spans="1:8" ht="18" customHeight="1" x14ac:dyDescent="0.3">
      <c r="A74" s="17" t="s">
        <v>446</v>
      </c>
      <c r="B74" s="17" t="s">
        <v>447</v>
      </c>
      <c r="C74" s="18" t="s">
        <v>131</v>
      </c>
      <c r="D74" s="17" t="s">
        <v>448</v>
      </c>
      <c r="E74" s="18" t="s">
        <v>449</v>
      </c>
      <c r="F74" s="18" t="s">
        <v>450</v>
      </c>
      <c r="G74" s="18" t="s">
        <v>451</v>
      </c>
      <c r="H74" s="18" t="s">
        <v>452</v>
      </c>
    </row>
    <row r="75" spans="1:8" ht="18" customHeight="1" x14ac:dyDescent="0.3">
      <c r="A75" s="15" t="s">
        <v>446</v>
      </c>
      <c r="B75" s="15" t="s">
        <v>447</v>
      </c>
      <c r="C75" s="16" t="s">
        <v>137</v>
      </c>
      <c r="D75" s="15" t="s">
        <v>453</v>
      </c>
      <c r="E75" s="16" t="s">
        <v>454</v>
      </c>
      <c r="F75" s="16" t="s">
        <v>455</v>
      </c>
      <c r="G75" s="16" t="s">
        <v>456</v>
      </c>
      <c r="H75" s="16"/>
    </row>
    <row r="76" spans="1:8" ht="18" customHeight="1" x14ac:dyDescent="0.3">
      <c r="A76" s="17" t="s">
        <v>446</v>
      </c>
      <c r="B76" s="17" t="s">
        <v>447</v>
      </c>
      <c r="C76" s="18" t="s">
        <v>137</v>
      </c>
      <c r="D76" s="17" t="s">
        <v>398</v>
      </c>
      <c r="E76" s="18" t="s">
        <v>457</v>
      </c>
      <c r="F76" s="18" t="s">
        <v>225</v>
      </c>
      <c r="G76" s="18" t="s">
        <v>30</v>
      </c>
      <c r="H76" s="18" t="s">
        <v>458</v>
      </c>
    </row>
    <row r="77" spans="1:8" ht="18" customHeight="1" x14ac:dyDescent="0.3">
      <c r="A77" s="15" t="s">
        <v>459</v>
      </c>
      <c r="B77" s="15" t="s">
        <v>460</v>
      </c>
      <c r="C77" s="16" t="s">
        <v>137</v>
      </c>
      <c r="D77" s="15" t="s">
        <v>461</v>
      </c>
      <c r="E77" s="16" t="s">
        <v>462</v>
      </c>
      <c r="F77" s="16" t="s">
        <v>463</v>
      </c>
      <c r="G77" s="16" t="s">
        <v>464</v>
      </c>
      <c r="H77" s="16" t="s">
        <v>465</v>
      </c>
    </row>
    <row r="78" spans="1:8" ht="18" customHeight="1" x14ac:dyDescent="0.3">
      <c r="A78" s="17" t="s">
        <v>459</v>
      </c>
      <c r="B78" s="17" t="s">
        <v>460</v>
      </c>
      <c r="C78" s="18" t="s">
        <v>137</v>
      </c>
      <c r="D78" s="17" t="s">
        <v>350</v>
      </c>
      <c r="E78" s="18" t="s">
        <v>466</v>
      </c>
      <c r="F78" s="18" t="s">
        <v>467</v>
      </c>
      <c r="G78" s="18" t="s">
        <v>348</v>
      </c>
      <c r="H78" s="18" t="s">
        <v>468</v>
      </c>
    </row>
    <row r="79" spans="1:8" ht="18" customHeight="1" x14ac:dyDescent="0.3">
      <c r="A79" s="15" t="s">
        <v>459</v>
      </c>
      <c r="B79" s="15" t="s">
        <v>460</v>
      </c>
      <c r="C79" s="16" t="s">
        <v>137</v>
      </c>
      <c r="D79" s="15" t="s">
        <v>353</v>
      </c>
      <c r="E79" s="16" t="s">
        <v>469</v>
      </c>
      <c r="F79" s="16" t="s">
        <v>470</v>
      </c>
      <c r="G79" s="16" t="s">
        <v>30</v>
      </c>
      <c r="H79" s="16"/>
    </row>
    <row r="80" spans="1:8" ht="18" customHeight="1" x14ac:dyDescent="0.3">
      <c r="A80" s="17" t="s">
        <v>459</v>
      </c>
      <c r="B80" s="17" t="s">
        <v>460</v>
      </c>
      <c r="C80" s="18" t="s">
        <v>137</v>
      </c>
      <c r="D80" s="17" t="s">
        <v>239</v>
      </c>
      <c r="E80" s="18" t="s">
        <v>471</v>
      </c>
      <c r="F80" s="18" t="s">
        <v>470</v>
      </c>
      <c r="G80" s="18" t="s">
        <v>30</v>
      </c>
      <c r="H80" s="18" t="s">
        <v>472</v>
      </c>
    </row>
    <row r="81" spans="1:8" ht="18" customHeight="1" x14ac:dyDescent="0.3">
      <c r="A81" s="15" t="s">
        <v>473</v>
      </c>
      <c r="B81" s="15" t="s">
        <v>474</v>
      </c>
      <c r="C81" s="16" t="s">
        <v>137</v>
      </c>
      <c r="D81" s="15" t="s">
        <v>461</v>
      </c>
      <c r="E81" s="16" t="s">
        <v>475</v>
      </c>
      <c r="F81" s="16" t="s">
        <v>476</v>
      </c>
      <c r="G81" s="16" t="s">
        <v>477</v>
      </c>
      <c r="H81" s="16" t="s">
        <v>478</v>
      </c>
    </row>
    <row r="82" spans="1:8" ht="18" customHeight="1" x14ac:dyDescent="0.3">
      <c r="A82" s="17" t="s">
        <v>473</v>
      </c>
      <c r="B82" s="17" t="s">
        <v>474</v>
      </c>
      <c r="C82" s="18" t="s">
        <v>137</v>
      </c>
      <c r="D82" s="17" t="s">
        <v>350</v>
      </c>
      <c r="E82" s="18" t="s">
        <v>479</v>
      </c>
      <c r="F82" s="18" t="s">
        <v>480</v>
      </c>
      <c r="G82" s="18" t="s">
        <v>30</v>
      </c>
      <c r="H82" s="18" t="s">
        <v>481</v>
      </c>
    </row>
    <row r="83" spans="1:8" ht="18" customHeight="1" x14ac:dyDescent="0.3">
      <c r="A83" s="15" t="s">
        <v>473</v>
      </c>
      <c r="B83" s="15" t="s">
        <v>474</v>
      </c>
      <c r="C83" s="16" t="s">
        <v>137</v>
      </c>
      <c r="D83" s="15" t="s">
        <v>482</v>
      </c>
      <c r="E83" s="16" t="s">
        <v>483</v>
      </c>
      <c r="F83" s="16" t="s">
        <v>484</v>
      </c>
      <c r="G83" s="16" t="s">
        <v>30</v>
      </c>
      <c r="H83" s="16"/>
    </row>
    <row r="84" spans="1:8" ht="18" customHeight="1" x14ac:dyDescent="0.3">
      <c r="A84" s="17" t="s">
        <v>473</v>
      </c>
      <c r="B84" s="17" t="s">
        <v>474</v>
      </c>
      <c r="C84" s="18" t="s">
        <v>137</v>
      </c>
      <c r="D84" s="17" t="s">
        <v>485</v>
      </c>
      <c r="E84" s="18" t="s">
        <v>486</v>
      </c>
      <c r="F84" s="18" t="s">
        <v>203</v>
      </c>
      <c r="G84" s="18" t="s">
        <v>178</v>
      </c>
      <c r="H84" s="18"/>
    </row>
    <row r="85" spans="1:8" ht="18" customHeight="1" x14ac:dyDescent="0.3">
      <c r="A85" s="15" t="s">
        <v>487</v>
      </c>
      <c r="B85" s="15" t="s">
        <v>488</v>
      </c>
      <c r="C85" s="16" t="s">
        <v>146</v>
      </c>
      <c r="D85" s="15" t="s">
        <v>370</v>
      </c>
      <c r="E85" s="16" t="s">
        <v>489</v>
      </c>
      <c r="F85" s="16" t="s">
        <v>455</v>
      </c>
      <c r="G85" s="16" t="s">
        <v>490</v>
      </c>
      <c r="H85" s="16" t="s">
        <v>491</v>
      </c>
    </row>
    <row r="86" spans="1:8" ht="18" customHeight="1" x14ac:dyDescent="0.3">
      <c r="A86" s="17" t="s">
        <v>487</v>
      </c>
      <c r="B86" s="17" t="s">
        <v>488</v>
      </c>
      <c r="C86" s="18" t="s">
        <v>492</v>
      </c>
      <c r="D86" s="17" t="s">
        <v>493</v>
      </c>
      <c r="E86" s="18" t="s">
        <v>494</v>
      </c>
      <c r="F86" s="18" t="s">
        <v>495</v>
      </c>
      <c r="G86" s="18" t="s">
        <v>99</v>
      </c>
      <c r="H86" s="18" t="s">
        <v>496</v>
      </c>
    </row>
    <row r="87" spans="1:8" ht="18" customHeight="1" x14ac:dyDescent="0.3">
      <c r="A87" s="15" t="s">
        <v>487</v>
      </c>
      <c r="B87" s="15" t="s">
        <v>488</v>
      </c>
      <c r="C87" s="16" t="s">
        <v>497</v>
      </c>
      <c r="D87" s="15" t="s">
        <v>453</v>
      </c>
      <c r="E87" s="16" t="s">
        <v>498</v>
      </c>
      <c r="F87" s="16" t="s">
        <v>203</v>
      </c>
      <c r="G87" s="16" t="s">
        <v>178</v>
      </c>
      <c r="H87" s="16"/>
    </row>
    <row r="88" spans="1:8" ht="18" customHeight="1" x14ac:dyDescent="0.3">
      <c r="A88" s="17" t="s">
        <v>487</v>
      </c>
      <c r="B88" s="17" t="s">
        <v>488</v>
      </c>
      <c r="C88" s="18" t="s">
        <v>497</v>
      </c>
      <c r="D88" s="17" t="s">
        <v>398</v>
      </c>
      <c r="E88" s="18" t="s">
        <v>499</v>
      </c>
      <c r="F88" s="18" t="s">
        <v>500</v>
      </c>
      <c r="G88" s="18" t="s">
        <v>30</v>
      </c>
      <c r="H88" s="18" t="s">
        <v>501</v>
      </c>
    </row>
    <row r="89" spans="1:8" ht="18" customHeight="1" x14ac:dyDescent="0.3">
      <c r="A89" s="15" t="s">
        <v>502</v>
      </c>
      <c r="B89" s="15" t="s">
        <v>503</v>
      </c>
      <c r="C89" s="16" t="s">
        <v>154</v>
      </c>
      <c r="D89" s="15" t="s">
        <v>504</v>
      </c>
      <c r="E89" s="16" t="s">
        <v>505</v>
      </c>
      <c r="F89" s="16" t="s">
        <v>154</v>
      </c>
      <c r="G89" s="16" t="s">
        <v>506</v>
      </c>
      <c r="H89" s="16" t="s">
        <v>507</v>
      </c>
    </row>
    <row r="90" spans="1:8" ht="18" customHeight="1" x14ac:dyDescent="0.3">
      <c r="A90" s="17" t="s">
        <v>502</v>
      </c>
      <c r="B90" s="17" t="s">
        <v>503</v>
      </c>
      <c r="C90" s="18" t="s">
        <v>497</v>
      </c>
      <c r="D90" s="17" t="s">
        <v>239</v>
      </c>
      <c r="E90" s="18" t="s">
        <v>508</v>
      </c>
      <c r="F90" s="18" t="s">
        <v>203</v>
      </c>
      <c r="G90" s="18" t="s">
        <v>178</v>
      </c>
      <c r="H90" s="18" t="s">
        <v>509</v>
      </c>
    </row>
    <row r="91" spans="1:8" ht="18" customHeight="1" x14ac:dyDescent="0.3">
      <c r="A91" s="15" t="s">
        <v>510</v>
      </c>
      <c r="B91" s="15" t="s">
        <v>511</v>
      </c>
      <c r="C91" s="16" t="s">
        <v>512</v>
      </c>
      <c r="D91" s="15" t="s">
        <v>513</v>
      </c>
      <c r="E91" s="16" t="s">
        <v>514</v>
      </c>
      <c r="F91" s="16" t="s">
        <v>497</v>
      </c>
      <c r="G91" s="16" t="s">
        <v>121</v>
      </c>
      <c r="H91" s="16" t="s">
        <v>515</v>
      </c>
    </row>
    <row r="92" spans="1:8" ht="18" customHeight="1" x14ac:dyDescent="0.3">
      <c r="A92" s="17" t="s">
        <v>510</v>
      </c>
      <c r="B92" s="17" t="s">
        <v>511</v>
      </c>
      <c r="C92" s="18" t="s">
        <v>516</v>
      </c>
      <c r="D92" s="17" t="s">
        <v>517</v>
      </c>
      <c r="E92" s="18" t="s">
        <v>518</v>
      </c>
      <c r="F92" s="18" t="s">
        <v>519</v>
      </c>
      <c r="G92" s="18" t="s">
        <v>520</v>
      </c>
      <c r="H92" s="18" t="s">
        <v>521</v>
      </c>
    </row>
    <row r="93" spans="1:8" ht="18" customHeight="1" x14ac:dyDescent="0.3">
      <c r="A93" s="15" t="s">
        <v>510</v>
      </c>
      <c r="B93" s="15" t="s">
        <v>511</v>
      </c>
      <c r="C93" s="16" t="s">
        <v>522</v>
      </c>
      <c r="D93" s="15" t="s">
        <v>523</v>
      </c>
      <c r="E93" s="16" t="s">
        <v>524</v>
      </c>
      <c r="F93" s="16" t="s">
        <v>525</v>
      </c>
      <c r="G93" s="16" t="s">
        <v>18</v>
      </c>
      <c r="H93" s="16" t="s">
        <v>526</v>
      </c>
    </row>
  </sheetData>
  <autoFilter ref="A2:H93" xr:uid="{00000000-0009-0000-0000-000001000000}"/>
  <mergeCells count="1"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9"/>
  <sheetViews>
    <sheetView topLeftCell="A22" zoomScaleNormal="100" workbookViewId="0">
      <selection activeCell="D37" sqref="D37"/>
    </sheetView>
  </sheetViews>
  <sheetFormatPr baseColWidth="10" defaultColWidth="8.6640625" defaultRowHeight="14.4" x14ac:dyDescent="0.3"/>
  <cols>
    <col min="1" max="1" width="28" customWidth="1"/>
    <col min="2" max="2" width="30" customWidth="1"/>
    <col min="3" max="3" width="22" customWidth="1"/>
    <col min="4" max="4" width="14" customWidth="1"/>
    <col min="5" max="5" width="18" customWidth="1"/>
    <col min="6" max="6" width="12" customWidth="1"/>
    <col min="7" max="7" width="45" customWidth="1"/>
  </cols>
  <sheetData>
    <row r="1" spans="1:7" ht="16.8" x14ac:dyDescent="0.3">
      <c r="A1" s="5" t="s">
        <v>527</v>
      </c>
      <c r="B1" s="5"/>
      <c r="C1" s="5"/>
      <c r="D1" s="5"/>
      <c r="E1" s="5"/>
      <c r="F1" s="5"/>
      <c r="G1" s="5"/>
    </row>
    <row r="2" spans="1:7" x14ac:dyDescent="0.3">
      <c r="A2" s="4" t="s">
        <v>528</v>
      </c>
      <c r="B2" s="4"/>
      <c r="C2" s="4"/>
      <c r="D2" s="4"/>
      <c r="E2" s="4"/>
      <c r="F2" s="4"/>
      <c r="G2" s="4"/>
    </row>
    <row r="3" spans="1:7" ht="26.4" x14ac:dyDescent="0.3">
      <c r="A3" s="19" t="s">
        <v>2</v>
      </c>
      <c r="B3" s="19" t="s">
        <v>529</v>
      </c>
      <c r="C3" s="19" t="s">
        <v>530</v>
      </c>
      <c r="D3" s="19" t="s">
        <v>531</v>
      </c>
      <c r="E3" s="19" t="s">
        <v>532</v>
      </c>
      <c r="F3" s="19" t="s">
        <v>533</v>
      </c>
      <c r="G3" s="19" t="s">
        <v>534</v>
      </c>
    </row>
    <row r="4" spans="1:7" x14ac:dyDescent="0.3">
      <c r="A4" s="18" t="s">
        <v>172</v>
      </c>
      <c r="B4" s="18" t="s">
        <v>174</v>
      </c>
      <c r="C4" s="18" t="s">
        <v>535</v>
      </c>
      <c r="D4" s="18" t="s">
        <v>536</v>
      </c>
      <c r="E4" s="18" t="s">
        <v>203</v>
      </c>
      <c r="F4" s="18" t="s">
        <v>537</v>
      </c>
      <c r="G4" s="18" t="s">
        <v>538</v>
      </c>
    </row>
    <row r="5" spans="1:7" x14ac:dyDescent="0.3">
      <c r="A5" s="16" t="s">
        <v>325</v>
      </c>
      <c r="B5" s="16" t="s">
        <v>68</v>
      </c>
      <c r="C5" s="16" t="s">
        <v>77</v>
      </c>
      <c r="D5" s="16" t="s">
        <v>539</v>
      </c>
      <c r="E5" s="16" t="s">
        <v>203</v>
      </c>
      <c r="F5" s="16" t="s">
        <v>540</v>
      </c>
      <c r="G5" s="16" t="s">
        <v>541</v>
      </c>
    </row>
    <row r="6" spans="1:7" x14ac:dyDescent="0.3">
      <c r="A6" s="18" t="s">
        <v>368</v>
      </c>
      <c r="B6" s="18" t="s">
        <v>77</v>
      </c>
      <c r="C6" s="18" t="s">
        <v>92</v>
      </c>
      <c r="D6" s="18" t="s">
        <v>542</v>
      </c>
      <c r="E6" s="18" t="s">
        <v>203</v>
      </c>
      <c r="F6" s="18" t="s">
        <v>543</v>
      </c>
      <c r="G6" s="18"/>
    </row>
    <row r="7" spans="1:7" x14ac:dyDescent="0.3">
      <c r="A7" s="16" t="s">
        <v>510</v>
      </c>
      <c r="B7" s="16" t="s">
        <v>544</v>
      </c>
      <c r="C7" s="16" t="s">
        <v>174</v>
      </c>
      <c r="D7" s="16" t="s">
        <v>545</v>
      </c>
      <c r="E7" s="16" t="s">
        <v>203</v>
      </c>
      <c r="F7" s="16" t="s">
        <v>546</v>
      </c>
      <c r="G7" s="16" t="s">
        <v>547</v>
      </c>
    </row>
    <row r="9" spans="1:7" x14ac:dyDescent="0.3">
      <c r="A9" s="3" t="s">
        <v>548</v>
      </c>
      <c r="B9" s="3"/>
      <c r="C9" s="3"/>
      <c r="D9" s="3"/>
      <c r="E9" s="3"/>
      <c r="F9" s="3"/>
      <c r="G9" s="3"/>
    </row>
    <row r="10" spans="1:7" ht="26.4" x14ac:dyDescent="0.3">
      <c r="A10" s="20" t="s">
        <v>549</v>
      </c>
      <c r="B10" s="20" t="s">
        <v>4</v>
      </c>
      <c r="C10" s="20" t="s">
        <v>550</v>
      </c>
      <c r="D10" s="20" t="s">
        <v>551</v>
      </c>
      <c r="E10" s="20" t="s">
        <v>171</v>
      </c>
      <c r="F10" s="20"/>
      <c r="G10" s="20"/>
    </row>
    <row r="11" spans="1:7" ht="22.8" x14ac:dyDescent="0.3">
      <c r="A11" s="16" t="s">
        <v>257</v>
      </c>
      <c r="B11" s="16" t="s">
        <v>26</v>
      </c>
      <c r="C11" s="16" t="s">
        <v>552</v>
      </c>
      <c r="D11" s="16" t="s">
        <v>543</v>
      </c>
      <c r="E11" s="16" t="s">
        <v>553</v>
      </c>
      <c r="F11" s="16"/>
      <c r="G11" s="16"/>
    </row>
    <row r="12" spans="1:7" x14ac:dyDescent="0.3">
      <c r="A12" s="18" t="s">
        <v>554</v>
      </c>
      <c r="B12" s="18" t="s">
        <v>50</v>
      </c>
      <c r="C12" s="18" t="s">
        <v>555</v>
      </c>
      <c r="D12" s="18" t="s">
        <v>540</v>
      </c>
      <c r="E12" s="18" t="s">
        <v>556</v>
      </c>
      <c r="F12" s="18"/>
      <c r="G12" s="18"/>
    </row>
    <row r="13" spans="1:7" ht="34.200000000000003" x14ac:dyDescent="0.3">
      <c r="A13" s="16" t="s">
        <v>102</v>
      </c>
      <c r="B13" s="16" t="s">
        <v>93</v>
      </c>
      <c r="C13" s="16" t="s">
        <v>557</v>
      </c>
      <c r="D13" s="16" t="s">
        <v>558</v>
      </c>
      <c r="E13" s="16" t="s">
        <v>559</v>
      </c>
      <c r="F13" s="16"/>
      <c r="G13" s="16"/>
    </row>
    <row r="14" spans="1:7" ht="22.8" x14ac:dyDescent="0.3">
      <c r="A14" s="18" t="s">
        <v>560</v>
      </c>
      <c r="B14" s="18" t="s">
        <v>561</v>
      </c>
      <c r="C14" s="18" t="s">
        <v>562</v>
      </c>
      <c r="D14" s="18" t="s">
        <v>563</v>
      </c>
      <c r="E14" s="18" t="s">
        <v>564</v>
      </c>
      <c r="F14" s="18"/>
      <c r="G14" s="18"/>
    </row>
    <row r="15" spans="1:7" ht="34.200000000000003" x14ac:dyDescent="0.3">
      <c r="A15" s="16" t="s">
        <v>131</v>
      </c>
      <c r="B15" s="16" t="s">
        <v>125</v>
      </c>
      <c r="C15" s="16" t="s">
        <v>565</v>
      </c>
      <c r="D15" s="16" t="s">
        <v>566</v>
      </c>
      <c r="E15" s="16" t="s">
        <v>567</v>
      </c>
      <c r="F15" s="16"/>
      <c r="G15" s="16"/>
    </row>
    <row r="16" spans="1:7" ht="22.8" x14ac:dyDescent="0.3">
      <c r="A16" s="18" t="s">
        <v>568</v>
      </c>
      <c r="B16" s="18" t="s">
        <v>125</v>
      </c>
      <c r="C16" s="18" t="s">
        <v>490</v>
      </c>
      <c r="D16" s="18" t="s">
        <v>569</v>
      </c>
      <c r="E16" s="18" t="s">
        <v>570</v>
      </c>
      <c r="F16" s="18"/>
      <c r="G16" s="18"/>
    </row>
    <row r="17" spans="1:7" ht="34.200000000000003" x14ac:dyDescent="0.3">
      <c r="A17" s="16" t="s">
        <v>492</v>
      </c>
      <c r="B17" s="16" t="s">
        <v>125</v>
      </c>
      <c r="C17" s="16" t="s">
        <v>571</v>
      </c>
      <c r="D17" s="16" t="s">
        <v>540</v>
      </c>
      <c r="E17" s="16" t="s">
        <v>572</v>
      </c>
      <c r="F17" s="16"/>
      <c r="G17" s="16"/>
    </row>
    <row r="18" spans="1:7" ht="22.8" x14ac:dyDescent="0.3">
      <c r="A18" s="18" t="s">
        <v>573</v>
      </c>
      <c r="B18" s="18" t="s">
        <v>125</v>
      </c>
      <c r="C18" s="18" t="s">
        <v>571</v>
      </c>
      <c r="D18" s="18" t="s">
        <v>540</v>
      </c>
      <c r="E18" s="18" t="s">
        <v>574</v>
      </c>
      <c r="F18" s="18"/>
      <c r="G18" s="18"/>
    </row>
    <row r="20" spans="1:7" x14ac:dyDescent="0.3">
      <c r="A20" s="2" t="s">
        <v>575</v>
      </c>
      <c r="B20" s="2"/>
      <c r="C20" s="2"/>
      <c r="D20" s="2"/>
      <c r="E20" s="2"/>
      <c r="F20" s="2"/>
      <c r="G20" s="2"/>
    </row>
    <row r="21" spans="1:7" x14ac:dyDescent="0.3">
      <c r="A21" s="21" t="s">
        <v>3</v>
      </c>
      <c r="B21" s="21" t="s">
        <v>576</v>
      </c>
      <c r="C21" s="21" t="s">
        <v>577</v>
      </c>
      <c r="D21" s="21" t="s">
        <v>578</v>
      </c>
      <c r="E21" s="21" t="s">
        <v>579</v>
      </c>
      <c r="F21" s="21" t="s">
        <v>580</v>
      </c>
      <c r="G21" s="21" t="s">
        <v>534</v>
      </c>
    </row>
    <row r="22" spans="1:7" x14ac:dyDescent="0.3">
      <c r="A22" s="18" t="s">
        <v>25</v>
      </c>
      <c r="B22" s="18" t="s">
        <v>203</v>
      </c>
      <c r="C22" s="18" t="s">
        <v>581</v>
      </c>
      <c r="D22" s="18" t="s">
        <v>192</v>
      </c>
      <c r="E22" s="18" t="s">
        <v>255</v>
      </c>
      <c r="F22" s="18" t="s">
        <v>582</v>
      </c>
      <c r="G22" s="18"/>
    </row>
    <row r="23" spans="1:7" x14ac:dyDescent="0.3">
      <c r="A23" s="16" t="s">
        <v>583</v>
      </c>
      <c r="B23" s="16" t="s">
        <v>203</v>
      </c>
      <c r="C23" s="16" t="s">
        <v>584</v>
      </c>
      <c r="D23" s="16" t="s">
        <v>255</v>
      </c>
      <c r="E23" s="16" t="s">
        <v>308</v>
      </c>
      <c r="F23" s="16" t="s">
        <v>585</v>
      </c>
      <c r="G23" s="16" t="s">
        <v>586</v>
      </c>
    </row>
    <row r="24" spans="1:7" x14ac:dyDescent="0.3">
      <c r="A24" s="18" t="s">
        <v>68</v>
      </c>
      <c r="B24" s="18" t="s">
        <v>203</v>
      </c>
      <c r="C24" s="18" t="s">
        <v>587</v>
      </c>
      <c r="D24" s="18" t="s">
        <v>308</v>
      </c>
      <c r="E24" s="18" t="s">
        <v>325</v>
      </c>
      <c r="F24" s="18" t="s">
        <v>588</v>
      </c>
      <c r="G24" s="18" t="s">
        <v>589</v>
      </c>
    </row>
    <row r="25" spans="1:7" x14ac:dyDescent="0.3">
      <c r="A25" s="16" t="s">
        <v>77</v>
      </c>
      <c r="B25" s="16" t="s">
        <v>203</v>
      </c>
      <c r="C25" s="16" t="s">
        <v>590</v>
      </c>
      <c r="D25" s="16" t="s">
        <v>325</v>
      </c>
      <c r="E25" s="16" t="s">
        <v>368</v>
      </c>
      <c r="F25" s="16" t="s">
        <v>582</v>
      </c>
      <c r="G25" s="16"/>
    </row>
    <row r="26" spans="1:7" x14ac:dyDescent="0.3">
      <c r="A26" s="18" t="s">
        <v>92</v>
      </c>
      <c r="B26" s="18" t="s">
        <v>203</v>
      </c>
      <c r="C26" s="18" t="s">
        <v>591</v>
      </c>
      <c r="D26" s="18" t="s">
        <v>368</v>
      </c>
      <c r="E26" s="18" t="s">
        <v>390</v>
      </c>
      <c r="F26" s="18" t="s">
        <v>592</v>
      </c>
      <c r="G26" s="18"/>
    </row>
    <row r="27" spans="1:7" x14ac:dyDescent="0.3">
      <c r="A27" s="16" t="s">
        <v>108</v>
      </c>
      <c r="B27" s="16" t="s">
        <v>203</v>
      </c>
      <c r="C27" s="16" t="s">
        <v>409</v>
      </c>
      <c r="D27" s="16" t="s">
        <v>390</v>
      </c>
      <c r="E27" s="16" t="s">
        <v>411</v>
      </c>
      <c r="F27" s="16" t="s">
        <v>592</v>
      </c>
      <c r="G27" s="16"/>
    </row>
    <row r="28" spans="1:7" x14ac:dyDescent="0.3">
      <c r="A28" s="18" t="s">
        <v>124</v>
      </c>
      <c r="B28" s="18" t="s">
        <v>203</v>
      </c>
      <c r="C28" s="18" t="s">
        <v>593</v>
      </c>
      <c r="D28" s="18" t="s">
        <v>411</v>
      </c>
      <c r="E28" s="18" t="s">
        <v>446</v>
      </c>
      <c r="F28" s="18" t="s">
        <v>582</v>
      </c>
      <c r="G28" s="18" t="s">
        <v>594</v>
      </c>
    </row>
    <row r="29" spans="1:7" x14ac:dyDescent="0.3">
      <c r="A29" s="16" t="s">
        <v>137</v>
      </c>
      <c r="B29" s="16" t="s">
        <v>203</v>
      </c>
      <c r="C29" s="16" t="s">
        <v>595</v>
      </c>
      <c r="D29" s="16" t="s">
        <v>446</v>
      </c>
      <c r="E29" s="16" t="s">
        <v>487</v>
      </c>
      <c r="F29" s="16" t="s">
        <v>582</v>
      </c>
      <c r="G29" s="16" t="s">
        <v>594</v>
      </c>
    </row>
    <row r="30" spans="1:7" x14ac:dyDescent="0.3">
      <c r="A30" s="18" t="s">
        <v>497</v>
      </c>
      <c r="B30" s="18" t="s">
        <v>203</v>
      </c>
      <c r="C30" s="18" t="s">
        <v>500</v>
      </c>
      <c r="D30" s="18" t="s">
        <v>487</v>
      </c>
      <c r="E30" s="18" t="s">
        <v>510</v>
      </c>
      <c r="F30" s="18" t="s">
        <v>592</v>
      </c>
      <c r="G30" s="18" t="s">
        <v>596</v>
      </c>
    </row>
    <row r="32" spans="1:7" x14ac:dyDescent="0.3">
      <c r="A32" s="1" t="s">
        <v>597</v>
      </c>
      <c r="B32" s="1"/>
      <c r="C32" s="1"/>
      <c r="D32" s="1"/>
      <c r="E32" s="1"/>
      <c r="F32" s="1"/>
      <c r="G32" s="1"/>
    </row>
    <row r="33" spans="1:7" x14ac:dyDescent="0.3">
      <c r="A33" s="16" t="s">
        <v>598</v>
      </c>
      <c r="B33" s="16" t="s">
        <v>599</v>
      </c>
      <c r="C33" s="16"/>
      <c r="D33" s="16"/>
      <c r="E33" s="16"/>
      <c r="F33" s="16"/>
      <c r="G33" s="16"/>
    </row>
    <row r="34" spans="1:7" ht="22.8" x14ac:dyDescent="0.3">
      <c r="A34" s="18" t="s">
        <v>600</v>
      </c>
      <c r="B34" s="18" t="s">
        <v>601</v>
      </c>
      <c r="C34" s="18"/>
      <c r="D34" s="18"/>
      <c r="E34" s="18"/>
      <c r="F34" s="18"/>
      <c r="G34" s="18"/>
    </row>
    <row r="35" spans="1:7" x14ac:dyDescent="0.3">
      <c r="A35" s="16" t="s">
        <v>602</v>
      </c>
      <c r="B35" s="16" t="s">
        <v>603</v>
      </c>
      <c r="C35" s="16"/>
      <c r="D35" s="16"/>
      <c r="E35" s="16"/>
      <c r="F35" s="16"/>
      <c r="G35" s="16"/>
    </row>
    <row r="36" spans="1:7" ht="22.8" x14ac:dyDescent="0.3">
      <c r="A36" s="18" t="s">
        <v>604</v>
      </c>
      <c r="B36" s="18" t="s">
        <v>605</v>
      </c>
      <c r="C36" s="18"/>
      <c r="D36" s="18"/>
      <c r="E36" s="18"/>
      <c r="F36" s="18"/>
      <c r="G36" s="18"/>
    </row>
    <row r="37" spans="1:7" ht="34.200000000000003" x14ac:dyDescent="0.3">
      <c r="A37" s="16" t="s">
        <v>606</v>
      </c>
      <c r="B37" s="16" t="s">
        <v>607</v>
      </c>
      <c r="C37" s="16"/>
      <c r="D37" s="16"/>
      <c r="E37" s="16"/>
      <c r="F37" s="16"/>
      <c r="G37" s="16"/>
    </row>
    <row r="38" spans="1:7" x14ac:dyDescent="0.3">
      <c r="A38" s="18" t="s">
        <v>608</v>
      </c>
      <c r="B38" s="18" t="s">
        <v>609</v>
      </c>
      <c r="C38" s="18"/>
      <c r="D38" s="18"/>
      <c r="E38" s="18"/>
      <c r="F38" s="18"/>
      <c r="G38" s="18"/>
    </row>
    <row r="39" spans="1:7" ht="22.8" x14ac:dyDescent="0.3">
      <c r="A39" s="16" t="s">
        <v>610</v>
      </c>
      <c r="B39" s="16" t="s">
        <v>611</v>
      </c>
      <c r="C39" s="16"/>
      <c r="D39" s="16"/>
      <c r="E39" s="16"/>
      <c r="F39" s="16"/>
      <c r="G39" s="16"/>
    </row>
  </sheetData>
  <mergeCells count="5">
    <mergeCell ref="A1:G1"/>
    <mergeCell ref="A2:G2"/>
    <mergeCell ref="A9:G9"/>
    <mergeCell ref="A20:G20"/>
    <mergeCell ref="A32:G3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GANTT</vt:lpstr>
      <vt:lpstr>DETALLE OPERATIVO</vt:lpstr>
      <vt:lpstr>LOGÍSTICA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Maximiliano Volcoff</cp:lastModifiedBy>
  <cp:revision>0</cp:revision>
  <dcterms:created xsi:type="dcterms:W3CDTF">2026-04-03T23:39:24Z</dcterms:created>
  <dcterms:modified xsi:type="dcterms:W3CDTF">2026-04-04T00:58:25Z</dcterms:modified>
  <dc:language>en-US</dc:language>
</cp:coreProperties>
</file>